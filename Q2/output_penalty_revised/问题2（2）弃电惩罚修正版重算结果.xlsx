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147e0af7646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汇总" sheetId="1" r:id="R96f56db786884e9e"/>
    <x:sheet xmlns:r="http://schemas.openxmlformats.org/officeDocument/2006/relationships" name="逐时_λ0" sheetId="2" r:id="Rf3568dafd38a4594"/>
    <x:sheet xmlns:r="http://schemas.openxmlformats.org/officeDocument/2006/relationships" name="逐时_λ03" sheetId="3" r:id="Ra3d35c57992e44c4"/>
    <x:sheet xmlns:r="http://schemas.openxmlformats.org/officeDocument/2006/relationships" name="逐时_λ06" sheetId="4" r:id="R9e572f9ebae6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#,##0.000"/>
    <x:numFmt numFmtId="202" formatCode="#,##0.00"/>
    <x:numFmt numFmtId="203" formatCode="0.00%"/>
    <x:numFmt numFmtId="204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1">
    <x:border/>
    <x:border>
      <x:left style="thin">
        <x:color rgb="FFD6DEE8"/>
      </x:lef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bottom style="thin">
        <x:color rgb="FFD6DEE8"/>
      </x:bottom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  <x:right style="thin">
        <x:color rgb="FFD6DEE8"/>
      </x:right>
      <x:top style="thin">
        <x:color rgb="FFD6DEE8"/>
      </x:top>
    </x:border>
    <x:border>
      <x:left style="thin">
        <x:color rgb="FFD6DEE8"/>
      </x:left>
      <x:top style="thin">
        <x:color rgb="FFD6DEE8"/>
      </x:top>
    </x:border>
    <x:border>
      <x:bottom style="double">
        <x:color rgb="FF1F4E78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0" borderId="0" xfId="0" applyNumberFormat="1" applyFont="1" applyFill="1" applyBorder="1"/>
    <x:xf numFmtId="0" fontId="2" fillId="3" borderId="3" xfId="0" applyNumberFormat="1" applyFont="1" applyFill="1" applyBorder="1"/>
    <x:xf numFmtId="0" fontId="3" fillId="0" borderId="3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202" fontId="0" fillId="0" borderId="6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203" fontId="0" fillId="0" borderId="3" xfId="0" applyNumberFormat="1" applyFont="1" applyFill="1" applyBorder="1"/>
    <x:xf numFmtId="202" fontId="0" fillId="0" borderId="1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3" fillId="3" borderId="0" xfId="0" applyNumberFormat="1" applyFont="1" applyFill="1" applyBorder="1"/>
    <x:xf numFmtId="0" fontId="3" fillId="3" borderId="3" xfId="0" applyNumberFormat="1" applyFont="1" applyFill="1" applyBorder="1"/>
    <x:xf numFmtId="201" fontId="3" fillId="3" borderId="3" xfId="0" applyNumberFormat="1" applyFont="1" applyFill="1" applyBorder="1"/>
    <x:xf numFmtId="0" fontId="3" fillId="3" borderId="10" xfId="0" applyNumberFormat="1" applyFont="1" applyFill="1" applyBorder="1"/>
    <x:xf numFmtId="204" fontId="0" fillId="0" borderId="0" xfId="0" applyNumberFormat="1" applyFont="1" applyFill="1" applyBorder="1"/>
    <x:xf numFmtId="204" fontId="3" fillId="3" borderId="10" xfId="0" applyNumberFormat="1" applyFont="1" applyFill="1" applyBorder="1"/>
    <x:xf numFmtId="201" fontId="3" fillId="3" borderId="10" xfId="0" applyNumberFormat="1" applyFont="1" applyFill="1" applyBorder="1"/>
    <x:xf numFmtId="204" fontId="0" fillId="0" borderId="3" xfId="0" applyNumberFormat="1" applyFont="1" applyFill="1" applyBorder="1"/>
  </x:cellXfs>
  <x:cellStyles count="1">
    <x:cellStyle name="Normal" xfId="0"/>
  </x:cellStyles>
  <x:dxfs count="6">
    <x:dxf>
      <x:font>
        <x:color rgb="FF2E7D32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8fbf4830aa4bcd" /><Relationship Type="http://schemas.openxmlformats.org/officeDocument/2006/relationships/theme" Target="/xl/theme/theme1.xml" Id="Rca05a3ff52c949d3" /><Relationship Type="http://schemas.openxmlformats.org/officeDocument/2006/relationships/sharedStrings" Target="/xl/sharedStrings.xml" Id="R9e64aae91617473b" /><Relationship Type="http://schemas.openxmlformats.org/officeDocument/2006/relationships/worksheet" Target="/xl/worksheets/sheet1.xml" Id="R96f56db786884e9e" /><Relationship Type="http://schemas.openxmlformats.org/officeDocument/2006/relationships/worksheet" Target="/xl/worksheets/sheet2.xml" Id="Rf3568dafd38a4594" /><Relationship Type="http://schemas.openxmlformats.org/officeDocument/2006/relationships/worksheet" Target="/xl/worksheets/sheet3.xml" Id="Ra3d35c57992e44c4" /><Relationship Type="http://schemas.openxmlformats.org/officeDocument/2006/relationships/worksheet" Target="/xl/worksheets/sheet4.xml" Id="R9e572f9ebae64acd" /></Relationships>
</file>

<file path=xl/tables/table1.xml><?xml version="1.0" encoding="utf-8"?>
<x:table xmlns:x="http://schemas.openxmlformats.org/spreadsheetml/2006/main" id="1" name="PenaltyResultsTable" displayName="PenaltyResultsTable" ref="A10:N22" headerRowCount="1" totalsRowCount="0" totalsRowShown="0">
  <x:tableColumns count="14">
    <x:tableColumn id="1" name="λ/(元·kWh⁻¹)"/>
    <x:tableColumn id="2" name="方案"/>
    <x:tableColumn id="3" name="储能功率/kW"/>
    <x:tableColumn id="4" name="储能容量/kWh"/>
    <x:tableColumn id="5" name="日纯运行成本/元"/>
    <x:tableColumn id="6" name="日弃电惩罚/元"/>
    <x:tableColumn id="7" name="年均投资/元"/>
    <x:tableColumn id="8" name="年实际成本/元"/>
    <x:tableColumn id="9" name="年综合成本/元"/>
    <x:tableColumn id="10" name="日弃电量/kWh"/>
    <x:tableColumn id="11" name="风光消纳率"/>
    <x:tableColumn id="12" name="触碰物理上界"/>
    <x:tableColumn id="13" name="核心校验"/>
    <x:tableColumn id="14" name="相对同λ无储能年综合节省/元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ourly00" displayName="Hourly00" ref="A4:L28" headerRowCount="1" totalsRowCount="0" totalsRowShown="0">
  <x:tableColumns count="12">
    <x:tableColumn id="1" name="时段"/>
    <x:tableColumn id="2" name="负荷/kW"/>
    <x:tableColumn id="3" name="光伏/kW"/>
    <x:tableColumn id="4" name="风电/kW"/>
    <x:tableColumn id="5" name="风光余电/kW"/>
    <x:tableColumn id="6" name="充电/kW"/>
    <x:tableColumn id="7" name="放电/kW"/>
    <x:tableColumn id="8" name="购电/kW"/>
    <x:tableColumn id="9" name="弃光/kW"/>
    <x:tableColumn id="10" name="弃风/kW"/>
    <x:tableColumn id="11" name="储能电量/kWh"/>
    <x:tableColumn id="12" name="余电约束裕度/k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ourly03" displayName="Hourly03" ref="A4:L28" headerRowCount="1" totalsRowCount="0" totalsRowShown="0">
  <x:tableColumns count="12">
    <x:tableColumn id="1" name="时段"/>
    <x:tableColumn id="2" name="负荷/kW"/>
    <x:tableColumn id="3" name="光伏/kW"/>
    <x:tableColumn id="4" name="风电/kW"/>
    <x:tableColumn id="5" name="风光余电/kW"/>
    <x:tableColumn id="6" name="充电/kW"/>
    <x:tableColumn id="7" name="放电/kW"/>
    <x:tableColumn id="8" name="购电/kW"/>
    <x:tableColumn id="9" name="弃光/kW"/>
    <x:tableColumn id="10" name="弃风/kW"/>
    <x:tableColumn id="11" name="储能电量/kWh"/>
    <x:tableColumn id="12" name="余电约束裕度/kW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ourly06" displayName="Hourly06" ref="A4:L28" headerRowCount="1" totalsRowCount="0" totalsRowShown="0">
  <x:tableColumns count="12">
    <x:tableColumn id="1" name="时段"/>
    <x:tableColumn id="2" name="负荷/kW"/>
    <x:tableColumn id="3" name="光伏/kW"/>
    <x:tableColumn id="4" name="风电/kW"/>
    <x:tableColumn id="5" name="风光余电/kW"/>
    <x:tableColumn id="6" name="充电/kW"/>
    <x:tableColumn id="7" name="放电/kW"/>
    <x:tableColumn id="8" name="购电/kW"/>
    <x:tableColumn id="9" name="弃光/kW"/>
    <x:tableColumn id="10" name="弃风/kW"/>
    <x:tableColumn id="11" name="储能电量/kWh"/>
    <x:tableColumn id="12" name="余电约束裕度/k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1faaeb0fa14e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b45defdbba41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863390e59324f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9ad18fa6be145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7" hidden="0" customWidth="1"/>
    <x:col min="4" max="4" width="17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4" hidden="0" customWidth="1"/>
    <x:col min="12" max="12" width="16" hidden="0" customWidth="1"/>
    <x:col min="13" max="13" width="16" hidden="0" customWidth="1"/>
    <x:col min="14" max="14" width="25" hidden="0" customWidth="1"/>
  </x:cols>
  <x:sheetData>
    <x:row r="1" ht="30" customHeight="1">
      <x:c r="A1" s="4" t="str">
        <x:v>问题2（2）弃电惩罚修正版重算结果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0" t="str">
        <x:v>模型参数</x:v>
      </x:c>
      <x:c r="B3" s="7" t="str">
        <x:v>取值</x:v>
      </x:c>
    </x:row>
    <x:row r="4">
      <x:c r="A4" s="11" t="str">
        <x:v>储能功率物理上界/kW</x:v>
      </x:c>
      <x:c r="B4" s="12" t="n">
        <x:v>450</x:v>
      </x:c>
    </x:row>
    <x:row r="5">
      <x:c r="A5" s="11" t="str">
        <x:v>储能容量物理上界/kWh</x:v>
      </x:c>
      <x:c r="B5" s="12" t="n">
        <x:v>1470</x:v>
      </x:c>
    </x:row>
    <x:row r="6">
      <x:c r="A6" s="11" t="str">
        <x:v>工程功率粒度/kW</x:v>
      </x:c>
      <x:c r="B6" s="12" t="n">
        <x:v>5</x:v>
      </x:c>
    </x:row>
    <x:row r="7">
      <x:c r="A7" s="11" t="str">
        <x:v>工程容量粒度/kWh</x:v>
      </x:c>
      <x:c r="B7" s="12" t="n">
        <x:v>10</x:v>
      </x:c>
    </x:row>
    <x:row r="8">
      <x:c r="A8" s="11" t="str">
        <x:v>充电来源限制</x:v>
      </x:c>
      <x:c r="B8" s="12" t="str">
        <x:v>仅允许当小时风光余电</x:v>
      </x:c>
    </x:row>
    <x:row r="10" ht="32" customHeight="1">
      <x:c r="A10" s="18" t="str">
        <x:v>λ/(元·kWh⁻¹)</x:v>
      </x:c>
      <x:c r="B10" s="18" t="str">
        <x:v>方案</x:v>
      </x:c>
      <x:c r="C10" s="18" t="str">
        <x:v>储能功率/kW</x:v>
      </x:c>
      <x:c r="D10" s="18" t="str">
        <x:v>储能容量/kWh</x:v>
      </x:c>
      <x:c r="E10" s="18" t="str">
        <x:v>日纯运行成本/元</x:v>
      </x:c>
      <x:c r="F10" s="18" t="str">
        <x:v>日弃电惩罚/元</x:v>
      </x:c>
      <x:c r="G10" s="18" t="str">
        <x:v>年均投资/元</x:v>
      </x:c>
      <x:c r="H10" s="18" t="str">
        <x:v>年实际成本/元</x:v>
      </x:c>
      <x:c r="I10" s="18" t="str">
        <x:v>年综合成本/元</x:v>
      </x:c>
      <x:c r="J10" s="18" t="str">
        <x:v>日弃电量/kWh</x:v>
      </x:c>
      <x:c r="K10" s="18" t="str">
        <x:v>风光消纳率</x:v>
      </x:c>
      <x:c r="L10" s="18" t="str">
        <x:v>触碰物理上界</x:v>
      </x:c>
      <x:c r="M10" s="18" t="str">
        <x:v>核心校验</x:v>
      </x:c>
      <x:c r="N10" s="18" t="str">
        <x:v>相对同λ无储能年综合节省/元</x:v>
      </x:c>
    </x:row>
    <x:row r="11">
      <x:c r="A11" s="23" t="n">
        <x:v>0</x:v>
      </x:c>
      <x:c r="B11" s="24" t="str">
        <x:v>联合无储能</x:v>
      </x:c>
      <x:c r="C11" s="25" t="n">
        <x:v>0</x:v>
      </x:c>
      <x:c r="D11" s="25" t="n">
        <x:v>0</x:v>
      </x:c>
      <x:c r="E11" s="26" t="n">
        <x:v>15107.660500000004</x:v>
      </x:c>
      <x:c r="F11" s="26" t="n">
        <x:v>0</x:v>
      </x:c>
      <x:c r="G11" s="26" t="n">
        <x:v>0</x:v>
      </x:c>
      <x:c r="H11" s="26" t="n">
        <x:f>365*E11+G11</x:f>
        <x:v>5514296.082500001</x:v>
      </x:c>
      <x:c r="I11" s="26" t="n">
        <x:f>365*(E11+F11)+G11</x:f>
        <x:v>5514296.082500001</x:v>
      </x:c>
      <x:c r="J11" s="26" t="n">
        <x:v>1237.175</x:v>
      </x:c>
      <x:c r="K11" s="27" t="n">
        <x:v>0.9243683711331006</x:v>
      </x:c>
      <x:c r="L11" s="24" t="str">
        <x:v>否</x:v>
      </x:c>
      <x:c r="M11" s="24" t="str">
        <x:v>通过</x:v>
      </x:c>
      <x:c r="N11" s="28" t="n">
        <x:f>$I$11-I11</x:f>
        <x:v>0</x:v>
      </x:c>
    </x:row>
    <x:row r="12">
      <x:c r="A12" s="29" t="n">
        <x:v>0</x:v>
      </x:c>
      <x:c r="B12" s="30" t="str">
        <x:v>固定50kW/100kWh</x:v>
      </x:c>
      <x:c r="C12" s="31" t="n">
        <x:v>50</x:v>
      </x:c>
      <x:c r="D12" s="31" t="n">
        <x:v>100</x:v>
      </x:c>
      <x:c r="E12" s="32" t="n">
        <x:v>15068.017263000003</x:v>
      </x:c>
      <x:c r="F12" s="32" t="n">
        <x:v>0</x:v>
      </x:c>
      <x:c r="G12" s="32" t="n">
        <x:v>22000</x:v>
      </x:c>
      <x:c r="H12" s="32" t="n">
        <x:f>365*E12+G12</x:f>
        <x:v>5521826.300995002</x:v>
      </x:c>
      <x:c r="I12" s="32" t="n">
        <x:f>365*(E12+F12)+G12</x:f>
        <x:v>5521826.300995002</x:v>
      </x:c>
      <x:c r="J12" s="32" t="n">
        <x:v>1152.96447</x:v>
      </x:c>
      <x:c r="K12" s="33" t="n">
        <x:v>0.9295163730318766</x:v>
      </x:c>
      <x:c r="L12" s="30" t="str">
        <x:v>否</x:v>
      </x:c>
      <x:c r="M12" s="30" t="str">
        <x:v>通过</x:v>
      </x:c>
      <x:c r="N12" s="34" t="n">
        <x:f>$I$11-I12</x:f>
        <x:v>-7530.218495000154</x:v>
      </x:c>
    </x:row>
    <x:row r="13">
      <x:c r="A13" s="29" t="n">
        <x:v>0</x:v>
      </x:c>
      <x:c r="B13" s="30" t="str">
        <x:v>连续优化</x:v>
      </x:c>
      <x:c r="C13" s="31" t="n">
        <x:v>0</x:v>
      </x:c>
      <x:c r="D13" s="31" t="n">
        <x:v>0</x:v>
      </x:c>
      <x:c r="E13" s="32" t="n">
        <x:v>15107.660500000004</x:v>
      </x:c>
      <x:c r="F13" s="32" t="n">
        <x:v>0</x:v>
      </x:c>
      <x:c r="G13" s="32" t="n">
        <x:v>0</x:v>
      </x:c>
      <x:c r="H13" s="32" t="n">
        <x:f>365*E13+G13</x:f>
        <x:v>5514296.082500001</x:v>
      </x:c>
      <x:c r="I13" s="32" t="n">
        <x:f>365*(E13+F13)+G13</x:f>
        <x:v>5514296.082500001</x:v>
      </x:c>
      <x:c r="J13" s="32" t="n">
        <x:v>1237.175</x:v>
      </x:c>
      <x:c r="K13" s="33" t="n">
        <x:v>0.9243683711331006</x:v>
      </x:c>
      <x:c r="L13" s="30" t="str">
        <x:v>否</x:v>
      </x:c>
      <x:c r="M13" s="30" t="str">
        <x:v>通过</x:v>
      </x:c>
      <x:c r="N13" s="34" t="n">
        <x:f>$I$11-I13</x:f>
        <x:v>0</x:v>
      </x:c>
    </x:row>
    <x:row r="14">
      <x:c r="A14" s="29" t="n">
        <x:v>0</x:v>
      </x:c>
      <x:c r="B14" s="30" t="str">
        <x:v>工程整数</x:v>
      </x:c>
      <x:c r="C14" s="31" t="n">
        <x:v>0</x:v>
      </x:c>
      <x:c r="D14" s="31" t="n">
        <x:v>0</x:v>
      </x:c>
      <x:c r="E14" s="32" t="n">
        <x:v>15107.660500000004</x:v>
      </x:c>
      <x:c r="F14" s="32" t="n">
        <x:v>0</x:v>
      </x:c>
      <x:c r="G14" s="32" t="n">
        <x:v>0</x:v>
      </x:c>
      <x:c r="H14" s="32" t="n">
        <x:f>365*E14+G14</x:f>
        <x:v>5514296.082500001</x:v>
      </x:c>
      <x:c r="I14" s="32" t="n">
        <x:f>365*(E14+F14)+G14</x:f>
        <x:v>5514296.082500001</x:v>
      </x:c>
      <x:c r="J14" s="32" t="n">
        <x:v>1237.175</x:v>
      </x:c>
      <x:c r="K14" s="33" t="n">
        <x:v>0.9243683711331006</x:v>
      </x:c>
      <x:c r="L14" s="30" t="str">
        <x:v>否</x:v>
      </x:c>
      <x:c r="M14" s="30" t="str">
        <x:v>通过</x:v>
      </x:c>
      <x:c r="N14" s="34" t="n">
        <x:f>$I$11-I14</x:f>
        <x:v>0</x:v>
      </x:c>
    </x:row>
    <x:row r="15">
      <x:c r="A15" s="29" t="n">
        <x:v>0.3</x:v>
      </x:c>
      <x:c r="B15" s="30" t="str">
        <x:v>联合无储能</x:v>
      </x:c>
      <x:c r="C15" s="31" t="n">
        <x:v>0</x:v>
      </x:c>
      <x:c r="D15" s="31" t="n">
        <x:v>0</x:v>
      </x:c>
      <x:c r="E15" s="32" t="n">
        <x:v>15107.660500000004</x:v>
      </x:c>
      <x:c r="F15" s="32" t="n">
        <x:v>371.1525</x:v>
      </x:c>
      <x:c r="G15" s="32" t="n">
        <x:v>0</x:v>
      </x:c>
      <x:c r="H15" s="32" t="n">
        <x:f>365*E15+G15</x:f>
        <x:v>5514296.082500001</x:v>
      </x:c>
      <x:c r="I15" s="32" t="n">
        <x:f>365*(E15+F15)+G15</x:f>
        <x:v>5649766.745000001</x:v>
      </x:c>
      <x:c r="J15" s="32" t="n">
        <x:v>1237.175</x:v>
      </x:c>
      <x:c r="K15" s="33" t="n">
        <x:v>0.9243683711331006</x:v>
      </x:c>
      <x:c r="L15" s="30" t="str">
        <x:v>否</x:v>
      </x:c>
      <x:c r="M15" s="30" t="str">
        <x:v>通过</x:v>
      </x:c>
      <x:c r="N15" s="34" t="n">
        <x:f>$I$15-I15</x:f>
        <x:v>0</x:v>
      </x:c>
    </x:row>
    <x:row r="16">
      <x:c r="A16" s="29" t="n">
        <x:v>0.3</x:v>
      </x:c>
      <x:c r="B16" s="30" t="str">
        <x:v>固定50kW/100kWh</x:v>
      </x:c>
      <x:c r="C16" s="31" t="n">
        <x:v>50</x:v>
      </x:c>
      <x:c r="D16" s="31" t="n">
        <x:v>100</x:v>
      </x:c>
      <x:c r="E16" s="32" t="n">
        <x:v>15068.017275400003</x:v>
      </x:c>
      <x:c r="F16" s="32" t="n">
        <x:v>345.88934099999994</x:v>
      </x:c>
      <x:c r="G16" s="32" t="n">
        <x:v>22000</x:v>
      </x:c>
      <x:c r="H16" s="32" t="n">
        <x:f>365*E16+G16</x:f>
        <x:v>5521826.305521001</x:v>
      </x:c>
      <x:c r="I16" s="32" t="n">
        <x:f>365*(E16+F16)+G16</x:f>
        <x:v>5648075.914986001</x:v>
      </x:c>
      <x:c r="J16" s="32" t="n">
        <x:v>1152.96447</x:v>
      </x:c>
      <x:c r="K16" s="33" t="n">
        <x:v>0.9295163748658525</x:v>
      </x:c>
      <x:c r="L16" s="30" t="str">
        <x:v>否</x:v>
      </x:c>
      <x:c r="M16" s="30" t="str">
        <x:v>通过</x:v>
      </x:c>
      <x:c r="N16" s="34" t="n">
        <x:f>$I$15-I16</x:f>
        <x:v>1690.8300139997154</x:v>
      </x:c>
    </x:row>
    <x:row r="17">
      <x:c r="A17" s="29" t="n">
        <x:v>0.3</x:v>
      </x:c>
      <x:c r="B17" s="30" t="str">
        <x:v>连续优化</x:v>
      </x:c>
      <x:c r="C17" s="31" t="n">
        <x:v>355.225</x:v>
      </x:c>
      <x:c r="D17" s="31" t="n">
        <x:v>1358.8384</x:v>
      </x:c>
      <x:c r="E17" s="32" t="n">
        <x:v>14638.624780000002</x:v>
      </x:c>
      <x:c r="F17" s="32" t="n">
        <x:v>27.866999999999965</x:v>
      </x:c>
      <x:c r="G17" s="32" t="n">
        <x:v>273008.912</x:v>
      </x:c>
      <x:c r="H17" s="32" t="n">
        <x:f>365*E17+G17</x:f>
        <x:v>5616106.956700001</x:v>
      </x:c>
      <x:c r="I17" s="32" t="n">
        <x:f>365*(E17+F17)+G17</x:f>
        <x:v>5626278.411700001</x:v>
      </x:c>
      <x:c r="J17" s="32" t="n">
        <x:v>92.88999999999989</x:v>
      </x:c>
      <x:c r="K17" s="33" t="n">
        <x:v>0.9943213999592246</x:v>
      </x:c>
      <x:c r="L17" s="30" t="str">
        <x:v>否</x:v>
      </x:c>
      <x:c r="M17" s="30" t="str">
        <x:v>通过</x:v>
      </x:c>
      <x:c r="N17" s="34" t="n">
        <x:f>$I$15-I17</x:f>
        <x:v>23488.333300000057</x:v>
      </x:c>
    </x:row>
    <x:row r="18">
      <x:c r="A18" s="29" t="n">
        <x:v>0.3</x:v>
      </x:c>
      <x:c r="B18" s="30" t="str">
        <x:v>工程整数</x:v>
      </x:c>
      <x:c r="C18" s="31" t="n">
        <x:v>335</x:v>
      </x:c>
      <x:c r="D18" s="31" t="n">
        <x:v>1310</x:v>
      </x:c>
      <x:c r="E18" s="32" t="n">
        <x:v>14655.178445000003</x:v>
      </x:c>
      <x:c r="F18" s="32" t="n">
        <x:v>40.205133</x:v>
      </x:c>
      <x:c r="G18" s="32" t="n">
        <x:v>262600</x:v>
      </x:c>
      <x:c r="H18" s="32" t="n">
        <x:f>365*E18+G18</x:f>
        <x:v>5611740.132425001</x:v>
      </x:c>
      <x:c r="I18" s="32" t="n">
        <x:f>365*(E18+F18)+G18</x:f>
        <x:v>5626415.005970001</x:v>
      </x:c>
      <x:c r="J18" s="32" t="n">
        <x:v>134.01711</x:v>
      </x:c>
      <x:c r="K18" s="33" t="n">
        <x:v>0.9918071959703887</x:v>
      </x:c>
      <x:c r="L18" s="30" t="str">
        <x:v>否</x:v>
      </x:c>
      <x:c r="M18" s="30" t="str">
        <x:v>通过</x:v>
      </x:c>
      <x:c r="N18" s="34" t="n">
        <x:f>$I$15-I18</x:f>
        <x:v>23351.739029999822</x:v>
      </x:c>
    </x:row>
    <x:row r="19">
      <x:c r="A19" s="29" t="n">
        <x:v>0.6</x:v>
      </x:c>
      <x:c r="B19" s="30" t="str">
        <x:v>联合无储能</x:v>
      </x:c>
      <x:c r="C19" s="31" t="n">
        <x:v>0</x:v>
      </x:c>
      <x:c r="D19" s="31" t="n">
        <x:v>0</x:v>
      </x:c>
      <x:c r="E19" s="32" t="n">
        <x:v>15107.660500000002</x:v>
      </x:c>
      <x:c r="F19" s="32" t="n">
        <x:v>742.305</x:v>
      </x:c>
      <x:c r="G19" s="32" t="n">
        <x:v>0</x:v>
      </x:c>
      <x:c r="H19" s="32" t="n">
        <x:f>365*E19+G19</x:f>
        <x:v>5514296.0825000005</x:v>
      </x:c>
      <x:c r="I19" s="32" t="n">
        <x:f>365*(E19+F19)+G19</x:f>
        <x:v>5785237.407500001</x:v>
      </x:c>
      <x:c r="J19" s="32" t="n">
        <x:v>1237.175</x:v>
      </x:c>
      <x:c r="K19" s="33" t="n">
        <x:v>0.9243683711331006</x:v>
      </x:c>
      <x:c r="L19" s="30" t="str">
        <x:v>否</x:v>
      </x:c>
      <x:c r="M19" s="30" t="str">
        <x:v>通过</x:v>
      </x:c>
      <x:c r="N19" s="34" t="n">
        <x:f>$I$19-I19</x:f>
        <x:v>0</x:v>
      </x:c>
    </x:row>
    <x:row r="20">
      <x:c r="A20" s="29" t="n">
        <x:v>0.6</x:v>
      </x:c>
      <x:c r="B20" s="30" t="str">
        <x:v>固定50kW/100kWh</x:v>
      </x:c>
      <x:c r="C20" s="31" t="n">
        <x:v>50</x:v>
      </x:c>
      <x:c r="D20" s="31" t="n">
        <x:v>100</x:v>
      </x:c>
      <x:c r="E20" s="32" t="n">
        <x:v>15070.454761400002</x:v>
      </x:c>
      <x:c r="F20" s="32" t="n">
        <x:v>688.853682</x:v>
      </x:c>
      <x:c r="G20" s="32" t="n">
        <x:v>22000</x:v>
      </x:c>
      <x:c r="H20" s="32" t="n">
        <x:f>365*E20+G20</x:f>
        <x:v>5522715.987911001</x:v>
      </x:c>
      <x:c r="I20" s="32" t="n">
        <x:f>365*(E20+F20)+G20</x:f>
        <x:v>5774147.581841001</x:v>
      </x:c>
      <x:c r="J20" s="32" t="n">
        <x:v>1148.0894700000001</x:v>
      </x:c>
      <x:c r="K20" s="33" t="n">
        <x:v>0.9298143938358855</x:v>
      </x:c>
      <x:c r="L20" s="30" t="str">
        <x:v>否</x:v>
      </x:c>
      <x:c r="M20" s="30" t="str">
        <x:v>通过</x:v>
      </x:c>
      <x:c r="N20" s="34" t="n">
        <x:f>$I$19-I20</x:f>
        <x:v>11089.825658999383</x:v>
      </x:c>
    </x:row>
    <x:row r="21">
      <x:c r="A21" s="29" t="n">
        <x:v>0.6</x:v>
      </x:c>
      <x:c r="B21" s="30" t="str">
        <x:v>连续优化</x:v>
      </x:c>
      <x:c r="C21" s="31" t="n">
        <x:v>448.115</x:v>
      </x:c>
      <x:c r="D21" s="31" t="n">
        <x:v>1469.1453</x:v>
      </x:c>
      <x:c r="E21" s="32" t="n">
        <x:v>14601.236560000001</x:v>
      </x:c>
      <x:c r="F21" s="32" t="n">
        <x:v>0</x:v>
      </x:c>
      <x:c r="G21" s="32" t="n">
        <x:v>300295.354</x:v>
      </x:c>
      <x:c r="H21" s="32" t="n">
        <x:f>365*E21+G21</x:f>
        <x:v>5629746.698400001</x:v>
      </x:c>
      <x:c r="I21" s="32" t="n">
        <x:f>365*(E21+F21)+G21</x:f>
        <x:v>5629746.698400001</x:v>
      </x:c>
      <x:c r="J21" s="32" t="n">
        <x:v>0</x:v>
      </x:c>
      <x:c r="K21" s="33" t="n">
        <x:v>1</x:v>
      </x:c>
      <x:c r="L21" s="30" t="str">
        <x:v>否</x:v>
      </x:c>
      <x:c r="M21" s="30" t="str">
        <x:v>通过</x:v>
      </x:c>
      <x:c r="N21" s="34" t="n">
        <x:f>$I$19-I21</x:f>
        <x:v>155490.70909999963</x:v>
      </x:c>
    </x:row>
    <x:row r="22">
      <x:c r="A22" s="35" t="n">
        <x:v>0.6</x:v>
      </x:c>
      <x:c r="B22" s="36" t="str">
        <x:v>工程整数</x:v>
      </x:c>
      <x:c r="C22" s="37" t="n">
        <x:v>450</x:v>
      </x:c>
      <x:c r="D22" s="37" t="n">
        <x:v>1470</x:v>
      </x:c>
      <x:c r="E22" s="38" t="n">
        <x:v>14601.236560000003</x:v>
      </x:c>
      <x:c r="F22" s="38" t="n">
        <x:v>0</x:v>
      </x:c>
      <x:c r="G22" s="38" t="n">
        <x:v>300600</x:v>
      </x:c>
      <x:c r="H22" s="38" t="n">
        <x:f>365*E22+G22</x:f>
        <x:v>5630051.344400001</x:v>
      </x:c>
      <x:c r="I22" s="38" t="n">
        <x:f>365*(E22+F22)+G22</x:f>
        <x:v>5630051.344400001</x:v>
      </x:c>
      <x:c r="J22" s="38" t="n">
        <x:v>0</x:v>
      </x:c>
      <x:c r="K22" s="39" t="n">
        <x:v>1</x:v>
      </x:c>
      <x:c r="L22" s="36" t="str">
        <x:v>是</x:v>
      </x:c>
      <x:c r="M22" s="36" t="str">
        <x:v>通过</x:v>
      </x:c>
      <x:c r="N22" s="40" t="n">
        <x:f>$I$19-I22</x:f>
        <x:v>155186.0630999999</x:v>
      </x:c>
    </x:row>
  </x:sheetData>
  <x:mergeCells>
    <x:mergeCell ref="A1:N1"/>
  </x:mergeCells>
  <x:conditionalFormatting sqref="M11:M22">
    <x:cfRule type="containsText" dxfId="0" priority="1" operator="containsText" text="通过"/>
    <x:cfRule type="containsText" dxfId="1" priority="2" operator="containsText" text="失败"/>
  </x:conditionalFormatting>
  <x:conditionalFormatting sqref="L11:L22">
    <x:cfRule type="containsText" dxfId="2" priority="3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2d1faaeb0fa14e8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9" hidden="0" customWidth="1"/>
    <x:col min="4" max="4" width="15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9" hidden="0" customWidth="1"/>
  </x:cols>
  <x:sheetData>
    <x:row r="1" ht="30" customHeight="1">
      <x:c r="A1" s="4" t="str">
        <x:v>λ=0.0 连续最优方案逐时运行（仅允许风光余电充电）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2" t="str">
        <x:v>储能功率/kW</x:v>
      </x:c>
      <x:c r="B2" s="43" t="n">
        <x:v>0</x:v>
      </x:c>
      <x:c r="C2" s="43" t="str">
        <x:v>储能容量/kWh</x:v>
      </x:c>
      <x:c r="D2" s="43" t="n">
        <x:v>0</x:v>
      </x:c>
      <x:c r="E2" s="42" t="str">
        <x:v>日弃电量/kWh</x:v>
      </x:c>
      <x:c r="F2" s="43" t="n">
        <x:v>1237.175</x:v>
      </x:c>
    </x:row>
    <x:row r="4" ht="32" customHeight="1">
      <x:c r="A4" s="18" t="str">
        <x:v>时段</x:v>
      </x:c>
      <x:c r="B4" s="18" t="str">
        <x:v>负荷/kW</x:v>
      </x:c>
      <x:c r="C4" s="18" t="str">
        <x:v>光伏/kW</x:v>
      </x:c>
      <x:c r="D4" s="18" t="str">
        <x:v>风电/kW</x:v>
      </x:c>
      <x:c r="E4" s="18" t="str">
        <x:v>风光余电/kW</x:v>
      </x:c>
      <x:c r="F4" s="18" t="str">
        <x:v>充电/kW</x:v>
      </x:c>
      <x:c r="G4" s="18" t="str">
        <x:v>放电/kW</x:v>
      </x:c>
      <x:c r="H4" s="18" t="str">
        <x:v>购电/kW</x:v>
      </x:c>
      <x:c r="I4" s="18" t="str">
        <x:v>弃光/kW</x:v>
      </x:c>
      <x:c r="J4" s="18" t="str">
        <x:v>弃风/kW</x:v>
      </x:c>
      <x:c r="K4" s="18" t="str">
        <x:v>储能电量/kWh</x:v>
      </x:c>
      <x:c r="L4" s="18" t="str">
        <x:v>余电约束裕度/kW</x:v>
      </x:c>
    </x:row>
    <x:row r="5">
      <x:c r="A5" s="48" t="n">
        <x:v>1</x:v>
      </x:c>
      <x:c r="B5" s="31" t="n">
        <x:v>818</x:v>
      </x:c>
      <x:c r="C5" s="31" t="n">
        <x:v>0</x:v>
      </x:c>
      <x:c r="D5" s="31" t="n">
        <x:v>303.3</x:v>
      </x:c>
      <x:c r="E5" s="31" t="n">
        <x:f>MAX(C5+D5-B5,0)</x:f>
        <x:v>0</x:v>
      </x:c>
      <x:c r="F5" s="31" t="n">
        <x:v>0</x:v>
      </x:c>
      <x:c r="G5" s="31" t="n">
        <x:v>0</x:v>
      </x:c>
      <x:c r="H5" s="31" t="n">
        <x:v>514.7</x:v>
      </x:c>
      <x:c r="I5" s="31" t="n">
        <x:v>0</x:v>
      </x:c>
      <x:c r="J5" s="31" t="n">
        <x:v>0</x:v>
      </x:c>
      <x:c r="K5" s="31" t="n">
        <x:v>0</x:v>
      </x:c>
      <x:c r="L5" s="31" t="n">
        <x:f>E5-F5</x:f>
        <x:v>0</x:v>
      </x:c>
    </x:row>
    <x:row r="6">
      <x:c r="A6" s="48" t="n">
        <x:v>2</x:v>
      </x:c>
      <x:c r="B6" s="31" t="n">
        <x:v>820</x:v>
      </x:c>
      <x:c r="C6" s="31" t="n">
        <x:v>0</x:v>
      </x:c>
      <x:c r="D6" s="31" t="n">
        <x:v>491.54999999999995</x:v>
      </x:c>
      <x:c r="E6" s="31" t="n">
        <x:f>MAX(C6+D6-B6,0)</x:f>
        <x:v>0</x:v>
      </x:c>
      <x:c r="F6" s="31" t="n">
        <x:v>0</x:v>
      </x:c>
      <x:c r="G6" s="31" t="n">
        <x:v>0</x:v>
      </x:c>
      <x:c r="H6" s="31" t="n">
        <x:v>328.45</x:v>
      </x:c>
      <x:c r="I6" s="31" t="n">
        <x:v>0</x:v>
      </x:c>
      <x:c r="J6" s="31" t="n">
        <x:v>0</x:v>
      </x:c>
      <x:c r="K6" s="31" t="n">
        <x:v>0</x:v>
      </x:c>
      <x:c r="L6" s="31" t="n">
        <x:f>E6-F6</x:f>
        <x:v>0</x:v>
      </x:c>
    </x:row>
    <x:row r="7">
      <x:c r="A7" s="48" t="n">
        <x:v>3</x:v>
      </x:c>
      <x:c r="B7" s="31" t="n">
        <x:v>913</x:v>
      </x:c>
      <x:c r="C7" s="31" t="n">
        <x:v>0</x:v>
      </x:c>
      <x:c r="D7" s="31" t="n">
        <x:v>494.75</x:v>
      </x:c>
      <x:c r="E7" s="31" t="n">
        <x:f>MAX(C7+D7-B7,0)</x:f>
        <x:v>0</x:v>
      </x:c>
      <x:c r="F7" s="31" t="n">
        <x:v>0</x:v>
      </x:c>
      <x:c r="G7" s="31" t="n">
        <x:v>0</x:v>
      </x:c>
      <x:c r="H7" s="31" t="n">
        <x:v>418.25</x:v>
      </x:c>
      <x:c r="I7" s="31" t="n">
        <x:v>0</x:v>
      </x:c>
      <x:c r="J7" s="31" t="n">
        <x:v>0</x:v>
      </x:c>
      <x:c r="K7" s="31" t="n">
        <x:v>0</x:v>
      </x:c>
      <x:c r="L7" s="31" t="n">
        <x:f>E7-F7</x:f>
        <x:v>0</x:v>
      </x:c>
    </x:row>
    <x:row r="8">
      <x:c r="A8" s="48" t="n">
        <x:v>4</x:v>
      </x:c>
      <x:c r="B8" s="31" t="n">
        <x:v>918</x:v>
      </x:c>
      <x:c r="C8" s="31" t="n">
        <x:v>0</x:v>
      </x:c>
      <x:c r="D8" s="31" t="n">
        <x:v>535.95</x:v>
      </x:c>
      <x:c r="E8" s="31" t="n">
        <x:f>MAX(C8+D8-B8,0)</x:f>
        <x:v>0</x:v>
      </x:c>
      <x:c r="F8" s="31" t="n">
        <x:v>0</x:v>
      </x:c>
      <x:c r="G8" s="31" t="n">
        <x:v>0</x:v>
      </x:c>
      <x:c r="H8" s="31" t="n">
        <x:v>382.05</x:v>
      </x:c>
      <x:c r="I8" s="31" t="n">
        <x:v>0</x:v>
      </x:c>
      <x:c r="J8" s="31" t="n">
        <x:v>0</x:v>
      </x:c>
      <x:c r="K8" s="31" t="n">
        <x:v>0</x:v>
      </x:c>
      <x:c r="L8" s="31" t="n">
        <x:f>E8-F8</x:f>
        <x:v>0</x:v>
      </x:c>
    </x:row>
    <x:row r="9">
      <x:c r="A9" s="48" t="n">
        <x:v>5</x:v>
      </x:c>
      <x:c r="B9" s="31" t="n">
        <x:v>871</x:v>
      </x:c>
      <x:c r="C9" s="31" t="n">
        <x:v>0</x:v>
      </x:c>
      <x:c r="D9" s="31" t="n">
        <x:v>738.7</x:v>
      </x:c>
      <x:c r="E9" s="31" t="n">
        <x:f>MAX(C9+D9-B9,0)</x:f>
        <x:v>0</x:v>
      </x:c>
      <x:c r="F9" s="31" t="n">
        <x:v>0</x:v>
      </x:c>
      <x:c r="G9" s="31" t="n">
        <x:v>0</x:v>
      </x:c>
      <x:c r="H9" s="31" t="n">
        <x:v>132.3</x:v>
      </x:c>
      <x:c r="I9" s="31" t="n">
        <x:v>0</x:v>
      </x:c>
      <x:c r="J9" s="31" t="n">
        <x:v>0</x:v>
      </x:c>
      <x:c r="K9" s="31" t="n">
        <x:v>0</x:v>
      </x:c>
      <x:c r="L9" s="31" t="n">
        <x:f>E9-F9</x:f>
        <x:v>0</x:v>
      </x:c>
    </x:row>
    <x:row r="10">
      <x:c r="A10" s="48" t="n">
        <x:v>6</x:v>
      </x:c>
      <x:c r="B10" s="31" t="n">
        <x:v>815</x:v>
      </x:c>
      <x:c r="C10" s="31" t="n">
        <x:v>0</x:v>
      </x:c>
      <x:c r="D10" s="31" t="n">
        <x:v>671.65</x:v>
      </x:c>
      <x:c r="E10" s="31" t="n">
        <x:f>MAX(C10+D10-B10,0)</x:f>
        <x:v>0</x:v>
      </x:c>
      <x:c r="F10" s="31" t="n">
        <x:v>0</x:v>
      </x:c>
      <x:c r="G10" s="31" t="n">
        <x:v>0</x:v>
      </x:c>
      <x:c r="H10" s="31" t="n">
        <x:v>143.35</x:v>
      </x:c>
      <x:c r="I10" s="31" t="n">
        <x:v>0</x:v>
      </x:c>
      <x:c r="J10" s="31" t="n">
        <x:v>0</x:v>
      </x:c>
      <x:c r="K10" s="31" t="n">
        <x:v>0</x:v>
      </x:c>
      <x:c r="L10" s="31" t="n">
        <x:f>E10-F10</x:f>
        <x:v>0</x:v>
      </x:c>
    </x:row>
    <x:row r="11">
      <x:c r="A11" s="48" t="n">
        <x:v>7</x:v>
      </x:c>
      <x:c r="B11" s="31" t="n">
        <x:v>883</x:v>
      </x:c>
      <x:c r="C11" s="31" t="n">
        <x:v>0</x:v>
      </x:c>
      <x:c r="D11" s="31" t="n">
        <x:v>387.5</x:v>
      </x:c>
      <x:c r="E11" s="31" t="n">
        <x:f>MAX(C11+D11-B11,0)</x:f>
        <x:v>0</x:v>
      </x:c>
      <x:c r="F11" s="31" t="n">
        <x:v>0</x:v>
      </x:c>
      <x:c r="G11" s="31" t="n">
        <x:v>0</x:v>
      </x:c>
      <x:c r="H11" s="31" t="n">
        <x:v>495.5</x:v>
      </x:c>
      <x:c r="I11" s="31" t="n">
        <x:v>0</x:v>
      </x:c>
      <x:c r="J11" s="31" t="n">
        <x:v>0</x:v>
      </x:c>
      <x:c r="K11" s="31" t="n">
        <x:v>0</x:v>
      </x:c>
      <x:c r="L11" s="31" t="n">
        <x:f>E11-F11</x:f>
        <x:v>0</x:v>
      </x:c>
    </x:row>
    <x:row r="12">
      <x:c r="A12" s="48" t="n">
        <x:v>8</x:v>
      </x:c>
      <x:c r="B12" s="31" t="n">
        <x:v>957</x:v>
      </x:c>
      <x:c r="C12" s="31" t="n">
        <x:v>10.65</x:v>
      </x:c>
      <x:c r="D12" s="31" t="n">
        <x:v>108</x:v>
      </x:c>
      <x:c r="E12" s="31" t="n">
        <x:f>MAX(C12+D12-B12,0)</x:f>
        <x:v>0</x:v>
      </x:c>
      <x:c r="F12" s="31" t="n">
        <x:v>0</x:v>
      </x:c>
      <x:c r="G12" s="31" t="n">
        <x:v>0</x:v>
      </x:c>
      <x:c r="H12" s="31" t="n">
        <x:v>838.35</x:v>
      </x:c>
      <x:c r="I12" s="31" t="n">
        <x:v>0</x:v>
      </x:c>
      <x:c r="J12" s="31" t="n">
        <x:v>0</x:v>
      </x:c>
      <x:c r="K12" s="31" t="n">
        <x:v>0</x:v>
      </x:c>
      <x:c r="L12" s="31" t="n">
        <x:f>E12-F12</x:f>
        <x:v>0</x:v>
      </x:c>
    </x:row>
    <x:row r="13">
      <x:c r="A13" s="48" t="n">
        <x:v>9</x:v>
      </x:c>
      <x:c r="B13" s="31" t="n">
        <x:v>931</x:v>
      </x:c>
      <x:c r="C13" s="31" t="n">
        <x:v>423.75</x:v>
      </x:c>
      <x:c r="D13" s="31" t="n">
        <x:v>166.29999999999998</x:v>
      </x:c>
      <x:c r="E13" s="31" t="n">
        <x:f>MAX(C13+D13-B13,0)</x:f>
        <x:v>0</x:v>
      </x:c>
      <x:c r="F13" s="31" t="n">
        <x:v>0</x:v>
      </x:c>
      <x:c r="G13" s="31" t="n">
        <x:v>0</x:v>
      </x:c>
      <x:c r="H13" s="31" t="n">
        <x:v>340.95</x:v>
      </x:c>
      <x:c r="I13" s="31" t="n">
        <x:v>0</x:v>
      </x:c>
      <x:c r="J13" s="31" t="n">
        <x:v>0</x:v>
      </x:c>
      <x:c r="K13" s="31" t="n">
        <x:v>0</x:v>
      </x:c>
      <x:c r="L13" s="31" t="n">
        <x:f>E13-F13</x:f>
        <x:v>0</x:v>
      </x:c>
    </x:row>
    <x:row r="14">
      <x:c r="A14" s="48" t="n">
        <x:v>10</x:v>
      </x:c>
      <x:c r="B14" s="31" t="n">
        <x:v>879</x:v>
      </x:c>
      <x:c r="C14" s="31" t="n">
        <x:v>830.3399999999999</x:v>
      </x:c>
      <x:c r="D14" s="31" t="n">
        <x:v>257.95000000000005</x:v>
      </x:c>
      <x:c r="E14" s="31" t="n">
        <x:f>MAX(C14+D14-B14,0)</x:f>
        <x:v>209.28999999999996</x:v>
      </x:c>
      <x:c r="F14" s="31" t="n">
        <x:v>0</x:v>
      </x:c>
      <x:c r="G14" s="31" t="n">
        <x:v>0</x:v>
      </x:c>
      <x:c r="H14" s="31" t="n">
        <x:v>0</x:v>
      </x:c>
      <x:c r="I14" s="31" t="n">
        <x:v>0</x:v>
      </x:c>
      <x:c r="J14" s="31" t="n">
        <x:v>209.29</x:v>
      </x:c>
      <x:c r="K14" s="31" t="n">
        <x:v>0</x:v>
      </x:c>
      <x:c r="L14" s="31" t="n">
        <x:f>E14-F14</x:f>
        <x:v>209.28999999999996</x:v>
      </x:c>
    </x:row>
    <x:row r="15">
      <x:c r="A15" s="48" t="n">
        <x:v>11</x:v>
      </x:c>
      <x:c r="B15" s="31" t="n">
        <x:v>1047</x:v>
      </x:c>
      <x:c r="C15" s="31" t="n">
        <x:v>1054.4850000000001</x:v>
      </x:c>
      <x:c r="D15" s="31" t="n">
        <x:v>61.599999999999994</x:v>
      </x:c>
      <x:c r="E15" s="31" t="n">
        <x:f>MAX(C15+D15-B15,0)</x:f>
        <x:v>69.08500000000004</x:v>
      </x:c>
      <x:c r="F15" s="31" t="n">
        <x:v>0</x:v>
      </x:c>
      <x:c r="G15" s="31" t="n">
        <x:v>0</x:v>
      </x:c>
      <x:c r="H15" s="31" t="n">
        <x:v>0</x:v>
      </x:c>
      <x:c r="I15" s="31" t="n">
        <x:v>7.485</x:v>
      </x:c>
      <x:c r="J15" s="31" t="n">
        <x:v>61.6</x:v>
      </x:c>
      <x:c r="K15" s="31" t="n">
        <x:v>0</x:v>
      </x:c>
      <x:c r="L15" s="31" t="n">
        <x:f>E15-F15</x:f>
        <x:v>69.08500000000004</x:v>
      </x:c>
    </x:row>
    <x:row r="16">
      <x:c r="A16" s="48" t="n">
        <x:v>12</x:v>
      </x:c>
      <x:c r="B16" s="31" t="n">
        <x:v>1100</x:v>
      </x:c>
      <x:c r="C16" s="31" t="n">
        <x:v>1177.125</x:v>
      </x:c>
      <x:c r="D16" s="31" t="n">
        <x:v>278.1</x:v>
      </x:c>
      <x:c r="E16" s="31" t="n">
        <x:f>MAX(C16+D16-B16,0)</x:f>
        <x:v>355.2249999999999</x:v>
      </x:c>
      <x:c r="F16" s="31" t="n">
        <x:v>0</x:v>
      </x:c>
      <x:c r="G16" s="31" t="n">
        <x:v>0</x:v>
      </x:c>
      <x:c r="H16" s="31" t="n">
        <x:v>0</x:v>
      </x:c>
      <x:c r="I16" s="31" t="n">
        <x:v>77.125</x:v>
      </x:c>
      <x:c r="J16" s="31" t="n">
        <x:v>278.1</x:v>
      </x:c>
      <x:c r="K16" s="31" t="n">
        <x:v>0</x:v>
      </x:c>
      <x:c r="L16" s="31" t="n">
        <x:f>E16-F16</x:f>
        <x:v>355.2249999999999</x:v>
      </x:c>
    </x:row>
    <x:row r="17">
      <x:c r="A17" s="48" t="n">
        <x:v>13</x:v>
      </x:c>
      <x:c r="B17" s="31" t="n">
        <x:v>1253</x:v>
      </x:c>
      <x:c r="C17" s="31" t="n">
        <x:v>1179.7649999999999</x:v>
      </x:c>
      <x:c r="D17" s="31" t="n">
        <x:v>521.35</x:v>
      </x:c>
      <x:c r="E17" s="31" t="n">
        <x:f>MAX(C17+D17-B17,0)</x:f>
        <x:v>448.1149999999998</x:v>
      </x:c>
      <x:c r="F17" s="31" t="n">
        <x:v>0</x:v>
      </x:c>
      <x:c r="G17" s="31" t="n">
        <x:v>0</x:v>
      </x:c>
      <x:c r="H17" s="31" t="n">
        <x:v>0</x:v>
      </x:c>
      <x:c r="I17" s="31" t="n">
        <x:v>0</x:v>
      </x:c>
      <x:c r="J17" s="31" t="n">
        <x:v>448.115</x:v>
      </x:c>
      <x:c r="K17" s="31" t="n">
        <x:v>0</x:v>
      </x:c>
      <x:c r="L17" s="31" t="n">
        <x:f>E17-F17</x:f>
        <x:v>448.1149999999998</x:v>
      </x:c>
    </x:row>
    <x:row r="18">
      <x:c r="A18" s="48" t="n">
        <x:v>14</x:v>
      </x:c>
      <x:c r="B18" s="31" t="n">
        <x:v>1278</x:v>
      </x:c>
      <x:c r="C18" s="31" t="n">
        <x:v>1081.41</x:v>
      </x:c>
      <x:c r="D18" s="31" t="n">
        <x:v>352.04999999999995</x:v>
      </x:c>
      <x:c r="E18" s="31" t="n">
        <x:f>MAX(C18+D18-B18,0)</x:f>
        <x:v>155.46000000000004</x:v>
      </x:c>
      <x:c r="F18" s="31" t="n">
        <x:v>0</x:v>
      </x:c>
      <x:c r="G18" s="31" t="n">
        <x:v>0</x:v>
      </x:c>
      <x:c r="H18" s="31" t="n">
        <x:v>0</x:v>
      </x:c>
      <x:c r="I18" s="31" t="n">
        <x:v>0</x:v>
      </x:c>
      <x:c r="J18" s="31" t="n">
        <x:v>155.46</x:v>
      </x:c>
      <x:c r="K18" s="31" t="n">
        <x:v>0</x:v>
      </x:c>
      <x:c r="L18" s="31" t="n">
        <x:f>E18-F18</x:f>
        <x:v>155.46000000000004</x:v>
      </x:c>
    </x:row>
    <x:row r="19">
      <x:c r="A19" s="48" t="n">
        <x:v>15</x:v>
      </x:c>
      <x:c r="B19" s="31" t="n">
        <x:v>1248</x:v>
      </x:c>
      <x:c r="C19" s="31" t="n">
        <x:v>882.7950000000001</x:v>
      </x:c>
      <x:c r="D19" s="31" t="n">
        <x:v>172</x:v>
      </x:c>
      <x:c r="E19" s="31" t="n">
        <x:f>MAX(C19+D19-B19,0)</x:f>
        <x:v>0</x:v>
      </x:c>
      <x:c r="F19" s="31" t="n">
        <x:v>0</x:v>
      </x:c>
      <x:c r="G19" s="31" t="n">
        <x:v>0</x:v>
      </x:c>
      <x:c r="H19" s="31" t="n">
        <x:v>193.205</x:v>
      </x:c>
      <x:c r="I19" s="31" t="n">
        <x:v>0</x:v>
      </x:c>
      <x:c r="J19" s="31" t="n">
        <x:v>0</x:v>
      </x:c>
      <x:c r="K19" s="31" t="n">
        <x:v>0</x:v>
      </x:c>
      <x:c r="L19" s="31" t="n">
        <x:f>E19-F19</x:f>
        <x:v>0</x:v>
      </x:c>
    </x:row>
    <x:row r="20">
      <x:c r="A20" s="48" t="n">
        <x:v>16</x:v>
      </x:c>
      <x:c r="B20" s="31" t="n">
        <x:v>1328</x:v>
      </x:c>
      <x:c r="C20" s="31" t="n">
        <x:v>574.6500000000001</x:v>
      </x:c>
      <x:c r="D20" s="31" t="n">
        <x:v>300.25</x:v>
      </x:c>
      <x:c r="E20" s="31" t="n">
        <x:f>MAX(C20+D20-B20,0)</x:f>
        <x:v>0</x:v>
      </x:c>
      <x:c r="F20" s="31" t="n">
        <x:v>0</x:v>
      </x:c>
      <x:c r="G20" s="31" t="n">
        <x:v>0</x:v>
      </x:c>
      <x:c r="H20" s="31" t="n">
        <x:v>453.1</x:v>
      </x:c>
      <x:c r="I20" s="31" t="n">
        <x:v>0</x:v>
      </x:c>
      <x:c r="J20" s="31" t="n">
        <x:v>0</x:v>
      </x:c>
      <x:c r="K20" s="31" t="n">
        <x:v>0</x:v>
      </x:c>
      <x:c r="L20" s="31" t="n">
        <x:f>E20-F20</x:f>
        <x:v>0</x:v>
      </x:c>
    </x:row>
    <x:row r="21">
      <x:c r="A21" s="48" t="n">
        <x:v>17</x:v>
      </x:c>
      <x:c r="B21" s="31" t="n">
        <x:v>963</x:v>
      </x:c>
      <x:c r="C21" s="31" t="n">
        <x:v>59.385</x:v>
      </x:c>
      <x:c r="D21" s="31" t="n">
        <x:v>510.15000000000003</x:v>
      </x:c>
      <x:c r="E21" s="31" t="n">
        <x:f>MAX(C21+D21-B21,0)</x:f>
        <x:v>0</x:v>
      </x:c>
      <x:c r="F21" s="31" t="n">
        <x:v>0</x:v>
      </x:c>
      <x:c r="G21" s="31" t="n">
        <x:v>0</x:v>
      </x:c>
      <x:c r="H21" s="31" t="n">
        <x:v>393.465</x:v>
      </x:c>
      <x:c r="I21" s="31" t="n">
        <x:v>0</x:v>
      </x:c>
      <x:c r="J21" s="31" t="n">
        <x:v>0</x:v>
      </x:c>
      <x:c r="K21" s="31" t="n">
        <x:v>0</x:v>
      </x:c>
      <x:c r="L21" s="31" t="n">
        <x:f>E21-F21</x:f>
        <x:v>0</x:v>
      </x:c>
    </x:row>
    <x:row r="22">
      <x:c r="A22" s="48" t="n">
        <x:v>18</x:v>
      </x:c>
      <x:c r="B22" s="31" t="n">
        <x:v>915</x:v>
      </x:c>
      <x:c r="C22" s="31" t="n">
        <x:v>0</x:v>
      </x:c>
      <x:c r="D22" s="31" t="n">
        <x:v>512.5</x:v>
      </x:c>
      <x:c r="E22" s="31" t="n">
        <x:f>MAX(C22+D22-B22,0)</x:f>
        <x:v>0</x:v>
      </x:c>
      <x:c r="F22" s="31" t="n">
        <x:v>0</x:v>
      </x:c>
      <x:c r="G22" s="31" t="n">
        <x:v>0</x:v>
      </x:c>
      <x:c r="H22" s="31" t="n">
        <x:v>402.5</x:v>
      </x:c>
      <x:c r="I22" s="31" t="n">
        <x:v>0</x:v>
      </x:c>
      <x:c r="J22" s="31" t="n">
        <x:v>0</x:v>
      </x:c>
      <x:c r="K22" s="31" t="n">
        <x:v>0</x:v>
      </x:c>
      <x:c r="L22" s="31" t="n">
        <x:f>E22-F22</x:f>
        <x:v>0</x:v>
      </x:c>
    </x:row>
    <x:row r="23">
      <x:c r="A23" s="48" t="n">
        <x:v>19</x:v>
      </x:c>
      <x:c r="B23" s="31" t="n">
        <x:v>1084</x:v>
      </x:c>
      <x:c r="C23" s="31" t="n">
        <x:v>0</x:v>
      </x:c>
      <x:c r="D23" s="31" t="n">
        <x:v>659.95</x:v>
      </x:c>
      <x:c r="E23" s="31" t="n">
        <x:f>MAX(C23+D23-B23,0)</x:f>
        <x:v>0</x:v>
      </x:c>
      <x:c r="F23" s="31" t="n">
        <x:v>0</x:v>
      </x:c>
      <x:c r="G23" s="31" t="n">
        <x:v>0</x:v>
      </x:c>
      <x:c r="H23" s="31" t="n">
        <x:v>424.05</x:v>
      </x:c>
      <x:c r="I23" s="31" t="n">
        <x:v>0</x:v>
      </x:c>
      <x:c r="J23" s="31" t="n">
        <x:v>0</x:v>
      </x:c>
      <x:c r="K23" s="31" t="n">
        <x:v>0</x:v>
      </x:c>
      <x:c r="L23" s="31" t="n">
        <x:f>E23-F23</x:f>
        <x:v>0</x:v>
      </x:c>
    </x:row>
    <x:row r="24">
      <x:c r="A24" s="48" t="n">
        <x:v>20</x:v>
      </x:c>
      <x:c r="B24" s="31" t="n">
        <x:v>814</x:v>
      </x:c>
      <x:c r="C24" s="31" t="n">
        <x:v>0</x:v>
      </x:c>
      <x:c r="D24" s="31" t="n">
        <x:v>629.5500000000001</x:v>
      </x:c>
      <x:c r="E24" s="31" t="n">
        <x:f>MAX(C24+D24-B24,0)</x:f>
        <x:v>0</x:v>
      </x:c>
      <x:c r="F24" s="31" t="n">
        <x:v>0</x:v>
      </x:c>
      <x:c r="G24" s="31" t="n">
        <x:v>0</x:v>
      </x:c>
      <x:c r="H24" s="31" t="n">
        <x:v>184.45</x:v>
      </x:c>
      <x:c r="I24" s="31" t="n">
        <x:v>0</x:v>
      </x:c>
      <x:c r="J24" s="31" t="n">
        <x:v>0</x:v>
      </x:c>
      <x:c r="K24" s="31" t="n">
        <x:v>0</x:v>
      </x:c>
      <x:c r="L24" s="31" t="n">
        <x:f>E24-F24</x:f>
        <x:v>0</x:v>
      </x:c>
    </x:row>
    <x:row r="25">
      <x:c r="A25" s="48" t="n">
        <x:v>21</x:v>
      </x:c>
      <x:c r="B25" s="31" t="n">
        <x:v>844</x:v>
      </x:c>
      <x:c r="C25" s="31" t="n">
        <x:v>0</x:v>
      </x:c>
      <x:c r="D25" s="31" t="n">
        <x:v>304.85</x:v>
      </x:c>
      <x:c r="E25" s="31" t="n">
        <x:f>MAX(C25+D25-B25,0)</x:f>
        <x:v>0</x:v>
      </x:c>
      <x:c r="F25" s="31" t="n">
        <x:v>0</x:v>
      </x:c>
      <x:c r="G25" s="31" t="n">
        <x:v>0</x:v>
      </x:c>
      <x:c r="H25" s="31" t="n">
        <x:v>539.15</x:v>
      </x:c>
      <x:c r="I25" s="31" t="n">
        <x:v>0</x:v>
      </x:c>
      <x:c r="J25" s="31" t="n">
        <x:v>0</x:v>
      </x:c>
      <x:c r="K25" s="31" t="n">
        <x:v>0</x:v>
      </x:c>
      <x:c r="L25" s="31" t="n">
        <x:f>E25-F25</x:f>
        <x:v>0</x:v>
      </x:c>
    </x:row>
    <x:row r="26">
      <x:c r="A26" s="48" t="n">
        <x:v>22</x:v>
      </x:c>
      <x:c r="B26" s="31" t="n">
        <x:v>954</x:v>
      </x:c>
      <x:c r="C26" s="31" t="n">
        <x:v>0</x:v>
      </x:c>
      <x:c r="D26" s="31" t="n">
        <x:v>261.04999999999995</x:v>
      </x:c>
      <x:c r="E26" s="31" t="n">
        <x:f>MAX(C26+D26-B26,0)</x:f>
        <x:v>0</x:v>
      </x:c>
      <x:c r="F26" s="31" t="n">
        <x:v>0</x:v>
      </x:c>
      <x:c r="G26" s="31" t="n">
        <x:v>0</x:v>
      </x:c>
      <x:c r="H26" s="31" t="n">
        <x:v>692.95</x:v>
      </x:c>
      <x:c r="I26" s="31" t="n">
        <x:v>0</x:v>
      </x:c>
      <x:c r="J26" s="31" t="n">
        <x:v>0</x:v>
      </x:c>
      <x:c r="K26" s="31" t="n">
        <x:v>0</x:v>
      </x:c>
      <x:c r="L26" s="31" t="n">
        <x:f>E26-F26</x:f>
        <x:v>0</x:v>
      </x:c>
    </x:row>
    <x:row r="27">
      <x:c r="A27" s="48" t="n">
        <x:v>23</x:v>
      </x:c>
      <x:c r="B27" s="31" t="n">
        <x:v>864</x:v>
      </x:c>
      <x:c r="C27" s="31" t="n">
        <x:v>0</x:v>
      </x:c>
      <x:c r="D27" s="31" t="n">
        <x:v>248.35000000000002</x:v>
      </x:c>
      <x:c r="E27" s="31" t="n">
        <x:f>MAX(C27+D27-B27,0)</x:f>
        <x:v>0</x:v>
      </x:c>
      <x:c r="F27" s="31" t="n">
        <x:v>0</x:v>
      </x:c>
      <x:c r="G27" s="31" t="n">
        <x:v>0</x:v>
      </x:c>
      <x:c r="H27" s="31" t="n">
        <x:v>615.65</x:v>
      </x:c>
      <x:c r="I27" s="31" t="n">
        <x:v>0</x:v>
      </x:c>
      <x:c r="J27" s="31" t="n">
        <x:v>0</x:v>
      </x:c>
      <x:c r="K27" s="31" t="n">
        <x:v>0</x:v>
      </x:c>
      <x:c r="L27" s="31" t="n">
        <x:f>E27-F27</x:f>
        <x:v>0</x:v>
      </x:c>
    </x:row>
    <x:row r="28">
      <x:c r="A28" s="48" t="n">
        <x:v>24</x:v>
      </x:c>
      <x:c r="B28" s="31" t="n">
        <x:v>890</x:v>
      </x:c>
      <x:c r="C28" s="31" t="n">
        <x:v>0</x:v>
      </x:c>
      <x:c r="D28" s="31" t="n">
        <x:v>116.15</x:v>
      </x:c>
      <x:c r="E28" s="31" t="n">
        <x:f>MAX(C28+D28-B28,0)</x:f>
        <x:v>0</x:v>
      </x:c>
      <x:c r="F28" s="31" t="n">
        <x:v>0</x:v>
      </x:c>
      <x:c r="G28" s="31" t="n">
        <x:v>0</x:v>
      </x:c>
      <x:c r="H28" s="31" t="n">
        <x:v>773.85</x:v>
      </x:c>
      <x:c r="I28" s="31" t="n">
        <x:v>0</x:v>
      </x:c>
      <x:c r="J28" s="31" t="n">
        <x:v>0</x:v>
      </x:c>
      <x:c r="K28" s="31" t="n">
        <x:v>0</x:v>
      </x:c>
      <x:c r="L28" s="31" t="n">
        <x:f>E28-F28</x:f>
        <x:v>0</x:v>
      </x:c>
    </x:row>
    <x:row r="29">
      <x:c r="A29" s="46" t="str">
        <x:v>合计</x:v>
      </x:c>
      <x:c r="B29" s="47" t="n">
        <x:f>SUM(B5:B28)</x:f>
        <x:v>23387</x:v>
      </x:c>
      <x:c r="C29" s="47" t="n">
        <x:f>SUM(C5:C28)</x:f>
        <x:v>7274.355</x:v>
      </x:c>
      <x:c r="D29" s="47" t="n">
        <x:f>SUM(D5:D28)</x:f>
        <x:v>9083.550000000001</x:v>
      </x:c>
      <x:c r="E29" s="47" t="n">
        <x:f>SUM(E5:E28)</x:f>
        <x:v>1237.1749999999997</x:v>
      </x:c>
      <x:c r="F29" s="47" t="n">
        <x:f>SUM(F5:F28)</x:f>
        <x:v>0</x:v>
      </x:c>
      <x:c r="G29" s="47" t="n">
        <x:f>SUM(G5:G28)</x:f>
        <x:v>0</x:v>
      </x:c>
      <x:c r="H29" s="47" t="n">
        <x:f>SUM(H5:H28)</x:f>
        <x:v>8266.269999999999</x:v>
      </x:c>
      <x:c r="I29" s="47" t="n">
        <x:f>SUM(I5:I28)</x:f>
        <x:v>84.61</x:v>
      </x:c>
      <x:c r="J29" s="47" t="n">
        <x:f>SUM(J5:J28)</x:f>
        <x:v>1152.565</x:v>
      </x:c>
      <x:c r="K29" s="47"/>
      <x:c r="L29" s="47"/>
    </x:row>
  </x:sheetData>
  <x:mergeCells>
    <x:mergeCell ref="A1:L1"/>
  </x:mergeCells>
  <x:conditionalFormatting sqref="L5:L28">
    <x:cfRule type="cellIs" dxfId="3" priority="1" operator="lessThan">
      <x:formula>-0.0001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b45defdbba41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9" hidden="0" customWidth="1"/>
    <x:col min="4" max="4" width="15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9" hidden="0" customWidth="1"/>
  </x:cols>
  <x:sheetData>
    <x:row r="1" ht="30" customHeight="1">
      <x:c r="A1" s="4" t="str">
        <x:v>λ=0.3 连续最优方案逐时运行（仅允许风光余电充电）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2" t="str">
        <x:v>储能功率/kW</x:v>
      </x:c>
      <x:c r="B2" s="43" t="n">
        <x:v>355.225</x:v>
      </x:c>
      <x:c r="C2" s="43" t="str">
        <x:v>储能容量/kWh</x:v>
      </x:c>
      <x:c r="D2" s="43" t="n">
        <x:v>1358.8384</x:v>
      </x:c>
      <x:c r="E2" s="42" t="str">
        <x:v>日弃电量/kWh</x:v>
      </x:c>
      <x:c r="F2" s="43" t="n">
        <x:v>92.88999999999989</x:v>
      </x:c>
    </x:row>
    <x:row r="4" ht="32" customHeight="1">
      <x:c r="A4" s="18" t="str">
        <x:v>时段</x:v>
      </x:c>
      <x:c r="B4" s="18" t="str">
        <x:v>负荷/kW</x:v>
      </x:c>
      <x:c r="C4" s="18" t="str">
        <x:v>光伏/kW</x:v>
      </x:c>
      <x:c r="D4" s="18" t="str">
        <x:v>风电/kW</x:v>
      </x:c>
      <x:c r="E4" s="18" t="str">
        <x:v>风光余电/kW</x:v>
      </x:c>
      <x:c r="F4" s="18" t="str">
        <x:v>充电/kW</x:v>
      </x:c>
      <x:c r="G4" s="18" t="str">
        <x:v>放电/kW</x:v>
      </x:c>
      <x:c r="H4" s="18" t="str">
        <x:v>购电/kW</x:v>
      </x:c>
      <x:c r="I4" s="18" t="str">
        <x:v>弃光/kW</x:v>
      </x:c>
      <x:c r="J4" s="18" t="str">
        <x:v>弃风/kW</x:v>
      </x:c>
      <x:c r="K4" s="18" t="str">
        <x:v>储能电量/kWh</x:v>
      </x:c>
      <x:c r="L4" s="18" t="str">
        <x:v>余电约束裕度/kW</x:v>
      </x:c>
    </x:row>
    <x:row r="5">
      <x:c r="A5" s="48" t="n">
        <x:v>1</x:v>
      </x:c>
      <x:c r="B5" s="31" t="n">
        <x:v>818</x:v>
      </x:c>
      <x:c r="C5" s="31" t="n">
        <x:v>0</x:v>
      </x:c>
      <x:c r="D5" s="31" t="n">
        <x:v>303.3</x:v>
      </x:c>
      <x:c r="E5" s="31" t="n">
        <x:f>MAX(C5+D5-B5,0)</x:f>
        <x:v>0</x:v>
      </x:c>
      <x:c r="F5" s="31" t="n">
        <x:v>0</x:v>
      </x:c>
      <x:c r="G5" s="31" t="n">
        <x:v>187.90861</x:v>
      </x:c>
      <x:c r="H5" s="31" t="n">
        <x:v>326.79139</x:v>
      </x:c>
      <x:c r="I5" s="31" t="n">
        <x:v>0</x:v>
      </x:c>
      <x:c r="J5" s="31" t="n">
        <x:v>0</x:v>
      </x:c>
      <x:c r="K5" s="31" t="n">
        <x:v>679.41922</x:v>
      </x:c>
      <x:c r="L5" s="31" t="n">
        <x:f>E5-F5</x:f>
        <x:v>0</x:v>
      </x:c>
    </x:row>
    <x:row r="6">
      <x:c r="A6" s="48" t="n">
        <x:v>2</x:v>
      </x:c>
      <x:c r="B6" s="31" t="n">
        <x:v>820</x:v>
      </x:c>
      <x:c r="C6" s="31" t="n">
        <x:v>0</x:v>
      </x:c>
      <x:c r="D6" s="31" t="n">
        <x:v>491.54999999999995</x:v>
      </x:c>
      <x:c r="E6" s="31" t="n">
        <x:f>MAX(C6+D6-B6,0)</x:f>
        <x:v>0</x:v>
      </x:c>
      <x:c r="F6" s="31" t="n">
        <x:v>0</x:v>
      </x:c>
      <x:c r="G6" s="31" t="n">
        <x:v>328.45</x:v>
      </x:c>
      <x:c r="H6" s="31" t="n">
        <x:v>0</x:v>
      </x:c>
      <x:c r="I6" s="31" t="n">
        <x:v>0</x:v>
      </x:c>
      <x:c r="J6" s="31" t="n">
        <x:v>0</x:v>
      </x:c>
      <x:c r="K6" s="31" t="n">
        <x:v>481.62069</x:v>
      </x:c>
      <x:c r="L6" s="31" t="n">
        <x:f>E6-F6</x:f>
        <x:v>0</x:v>
      </x:c>
    </x:row>
    <x:row r="7">
      <x:c r="A7" s="48" t="n">
        <x:v>3</x:v>
      </x:c>
      <x:c r="B7" s="31" t="n">
        <x:v>913</x:v>
      </x:c>
      <x:c r="C7" s="31" t="n">
        <x:v>0</x:v>
      </x:c>
      <x:c r="D7" s="31" t="n">
        <x:v>494.75</x:v>
      </x:c>
      <x:c r="E7" s="31" t="n">
        <x:f>MAX(C7+D7-B7,0)</x:f>
        <x:v>0</x:v>
      </x:c>
      <x:c r="F7" s="31" t="n">
        <x:v>0</x:v>
      </x:c>
      <x:c r="G7" s="31" t="n">
        <x:v>0</x:v>
      </x:c>
      <x:c r="H7" s="31" t="n">
        <x:v>418.25</x:v>
      </x:c>
      <x:c r="I7" s="31" t="n">
        <x:v>0</x:v>
      </x:c>
      <x:c r="J7" s="31" t="n">
        <x:v>0</x:v>
      </x:c>
      <x:c r="K7" s="31" t="n">
        <x:v>135.88384</x:v>
      </x:c>
      <x:c r="L7" s="31" t="n">
        <x:f>E7-F7</x:f>
        <x:v>0</x:v>
      </x:c>
    </x:row>
    <x:row r="8">
      <x:c r="A8" s="48" t="n">
        <x:v>4</x:v>
      </x:c>
      <x:c r="B8" s="31" t="n">
        <x:v>918</x:v>
      </x:c>
      <x:c r="C8" s="31" t="n">
        <x:v>0</x:v>
      </x:c>
      <x:c r="D8" s="31" t="n">
        <x:v>535.95</x:v>
      </x:c>
      <x:c r="E8" s="31" t="n">
        <x:f>MAX(C8+D8-B8,0)</x:f>
        <x:v>0</x:v>
      </x:c>
      <x:c r="F8" s="31" t="n">
        <x:v>0</x:v>
      </x:c>
      <x:c r="G8" s="31" t="n">
        <x:v>0</x:v>
      </x:c>
      <x:c r="H8" s="31" t="n">
        <x:v>382.05</x:v>
      </x:c>
      <x:c r="I8" s="31" t="n">
        <x:v>0</x:v>
      </x:c>
      <x:c r="J8" s="31" t="n">
        <x:v>0</x:v>
      </x:c>
      <x:c r="K8" s="31" t="n">
        <x:v>135.88384</x:v>
      </x:c>
      <x:c r="L8" s="31" t="n">
        <x:f>E8-F8</x:f>
        <x:v>0</x:v>
      </x:c>
    </x:row>
    <x:row r="9">
      <x:c r="A9" s="48" t="n">
        <x:v>5</x:v>
      </x:c>
      <x:c r="B9" s="31" t="n">
        <x:v>871</x:v>
      </x:c>
      <x:c r="C9" s="31" t="n">
        <x:v>0</x:v>
      </x:c>
      <x:c r="D9" s="31" t="n">
        <x:v>738.7</x:v>
      </x:c>
      <x:c r="E9" s="31" t="n">
        <x:f>MAX(C9+D9-B9,0)</x:f>
        <x:v>0</x:v>
      </x:c>
      <x:c r="F9" s="31" t="n">
        <x:v>0</x:v>
      </x:c>
      <x:c r="G9" s="31" t="n">
        <x:v>0</x:v>
      </x:c>
      <x:c r="H9" s="31" t="n">
        <x:v>132.3</x:v>
      </x:c>
      <x:c r="I9" s="31" t="n">
        <x:v>0</x:v>
      </x:c>
      <x:c r="J9" s="31" t="n">
        <x:v>0</x:v>
      </x:c>
      <x:c r="K9" s="31" t="n">
        <x:v>135.88384</x:v>
      </x:c>
      <x:c r="L9" s="31" t="n">
        <x:f>E9-F9</x:f>
        <x:v>0</x:v>
      </x:c>
    </x:row>
    <x:row r="10">
      <x:c r="A10" s="48" t="n">
        <x:v>6</x:v>
      </x:c>
      <x:c r="B10" s="31" t="n">
        <x:v>815</x:v>
      </x:c>
      <x:c r="C10" s="31" t="n">
        <x:v>0</x:v>
      </x:c>
      <x:c r="D10" s="31" t="n">
        <x:v>671.65</x:v>
      </x:c>
      <x:c r="E10" s="31" t="n">
        <x:f>MAX(C10+D10-B10,0)</x:f>
        <x:v>0</x:v>
      </x:c>
      <x:c r="F10" s="31" t="n">
        <x:v>0</x:v>
      </x:c>
      <x:c r="G10" s="31" t="n">
        <x:v>0</x:v>
      </x:c>
      <x:c r="H10" s="31" t="n">
        <x:v>143.35</x:v>
      </x:c>
      <x:c r="I10" s="31" t="n">
        <x:v>0</x:v>
      </x:c>
      <x:c r="J10" s="31" t="n">
        <x:v>0</x:v>
      </x:c>
      <x:c r="K10" s="31" t="n">
        <x:v>135.88384</x:v>
      </x:c>
      <x:c r="L10" s="31" t="n">
        <x:f>E10-F10</x:f>
        <x:v>0</x:v>
      </x:c>
    </x:row>
    <x:row r="11">
      <x:c r="A11" s="48" t="n">
        <x:v>7</x:v>
      </x:c>
      <x:c r="B11" s="31" t="n">
        <x:v>883</x:v>
      </x:c>
      <x:c r="C11" s="31" t="n">
        <x:v>0</x:v>
      </x:c>
      <x:c r="D11" s="31" t="n">
        <x:v>387.5</x:v>
      </x:c>
      <x:c r="E11" s="31" t="n">
        <x:f>MAX(C11+D11-B11,0)</x:f>
        <x:v>0</x:v>
      </x:c>
      <x:c r="F11" s="31" t="n">
        <x:v>0</x:v>
      </x:c>
      <x:c r="G11" s="31" t="n">
        <x:v>0</x:v>
      </x:c>
      <x:c r="H11" s="31" t="n">
        <x:v>495.5</x:v>
      </x:c>
      <x:c r="I11" s="31" t="n">
        <x:v>0</x:v>
      </x:c>
      <x:c r="J11" s="31" t="n">
        <x:v>0</x:v>
      </x:c>
      <x:c r="K11" s="31" t="n">
        <x:v>135.88384</x:v>
      </x:c>
      <x:c r="L11" s="31" t="n">
        <x:f>E11-F11</x:f>
        <x:v>0</x:v>
      </x:c>
    </x:row>
    <x:row r="12">
      <x:c r="A12" s="48" t="n">
        <x:v>8</x:v>
      </x:c>
      <x:c r="B12" s="31" t="n">
        <x:v>957</x:v>
      </x:c>
      <x:c r="C12" s="31" t="n">
        <x:v>10.65</x:v>
      </x:c>
      <x:c r="D12" s="31" t="n">
        <x:v>108</x:v>
      </x:c>
      <x:c r="E12" s="31" t="n">
        <x:f>MAX(C12+D12-B12,0)</x:f>
        <x:v>0</x:v>
      </x:c>
      <x:c r="F12" s="31" t="n">
        <x:v>0</x:v>
      </x:c>
      <x:c r="G12" s="31" t="n">
        <x:v>0</x:v>
      </x:c>
      <x:c r="H12" s="31" t="n">
        <x:v>838.35</x:v>
      </x:c>
      <x:c r="I12" s="31" t="n">
        <x:v>0</x:v>
      </x:c>
      <x:c r="J12" s="31" t="n">
        <x:v>0</x:v>
      </x:c>
      <x:c r="K12" s="31" t="n">
        <x:v>135.88384</x:v>
      </x:c>
      <x:c r="L12" s="31" t="n">
        <x:f>E12-F12</x:f>
        <x:v>0</x:v>
      </x:c>
    </x:row>
    <x:row r="13">
      <x:c r="A13" s="48" t="n">
        <x:v>9</x:v>
      </x:c>
      <x:c r="B13" s="31" t="n">
        <x:v>931</x:v>
      </x:c>
      <x:c r="C13" s="31" t="n">
        <x:v>423.75</x:v>
      </x:c>
      <x:c r="D13" s="31" t="n">
        <x:v>166.29999999999998</x:v>
      </x:c>
      <x:c r="E13" s="31" t="n">
        <x:f>MAX(C13+D13-B13,0)</x:f>
        <x:v>0</x:v>
      </x:c>
      <x:c r="F13" s="31" t="n">
        <x:v>0</x:v>
      </x:c>
      <x:c r="G13" s="31" t="n">
        <x:v>0</x:v>
      </x:c>
      <x:c r="H13" s="31" t="n">
        <x:v>340.95</x:v>
      </x:c>
      <x:c r="I13" s="31" t="n">
        <x:v>0</x:v>
      </x:c>
      <x:c r="J13" s="31" t="n">
        <x:v>0</x:v>
      </x:c>
      <x:c r="K13" s="31" t="n">
        <x:v>135.88384</x:v>
      </x:c>
      <x:c r="L13" s="31" t="n">
        <x:f>E13-F13</x:f>
        <x:v>0</x:v>
      </x:c>
    </x:row>
    <x:row r="14">
      <x:c r="A14" s="48" t="n">
        <x:v>10</x:v>
      </x:c>
      <x:c r="B14" s="31" t="n">
        <x:v>879</x:v>
      </x:c>
      <x:c r="C14" s="31" t="n">
        <x:v>830.3399999999999</x:v>
      </x:c>
      <x:c r="D14" s="31" t="n">
        <x:v>257.95000000000005</x:v>
      </x:c>
      <x:c r="E14" s="31" t="n">
        <x:f>MAX(C14+D14-B14,0)</x:f>
        <x:v>209.28999999999996</x:v>
      </x:c>
      <x:c r="F14" s="31" t="n">
        <x:v>209.29</x:v>
      </x:c>
      <x:c r="G14" s="31" t="n">
        <x:v>0</x:v>
      </x:c>
      <x:c r="H14" s="31" t="n">
        <x:v>0</x:v>
      </x:c>
      <x:c r="I14" s="31" t="n">
        <x:v>0</x:v>
      </x:c>
      <x:c r="J14" s="31" t="n">
        <x:v>0</x:v>
      </x:c>
      <x:c r="K14" s="31" t="n">
        <x:v>135.88384</x:v>
      </x:c>
      <x:c r="L14" s="31" t="n">
        <x:f>E14-F14</x:f>
        <x:v>-2.842170943040401e-14</x:v>
      </x:c>
    </x:row>
    <x:row r="15">
      <x:c r="A15" s="48" t="n">
        <x:v>11</x:v>
      </x:c>
      <x:c r="B15" s="31" t="n">
        <x:v>1047</x:v>
      </x:c>
      <x:c r="C15" s="31" t="n">
        <x:v>1054.4850000000001</x:v>
      </x:c>
      <x:c r="D15" s="31" t="n">
        <x:v>61.599999999999994</x:v>
      </x:c>
      <x:c r="E15" s="31" t="n">
        <x:f>MAX(C15+D15-B15,0)</x:f>
        <x:v>69.08500000000004</x:v>
      </x:c>
      <x:c r="F15" s="31" t="n">
        <x:v>69.085</x:v>
      </x:c>
      <x:c r="G15" s="31" t="n">
        <x:v>0</x:v>
      </x:c>
      <x:c r="H15" s="31" t="n">
        <x:v>0</x:v>
      </x:c>
      <x:c r="I15" s="31" t="n">
        <x:v>0</x:v>
      </x:c>
      <x:c r="J15" s="31" t="n">
        <x:v>-1.1368684e-13</x:v>
      </x:c>
      <x:c r="K15" s="31" t="n">
        <x:v>334.70934</x:v>
      </x:c>
      <x:c r="L15" s="31" t="n">
        <x:f>E15-F15</x:f>
        <x:v>4.263256414560601e-14</x:v>
      </x:c>
    </x:row>
    <x:row r="16">
      <x:c r="A16" s="48" t="n">
        <x:v>12</x:v>
      </x:c>
      <x:c r="B16" s="31" t="n">
        <x:v>1100</x:v>
      </x:c>
      <x:c r="C16" s="31" t="n">
        <x:v>1177.125</x:v>
      </x:c>
      <x:c r="D16" s="31" t="n">
        <x:v>278.1</x:v>
      </x:c>
      <x:c r="E16" s="31" t="n">
        <x:f>MAX(C16+D16-B16,0)</x:f>
        <x:v>355.2249999999999</x:v>
      </x:c>
      <x:c r="F16" s="31" t="n">
        <x:v>355.225</x:v>
      </x:c>
      <x:c r="G16" s="31" t="n">
        <x:v>0</x:v>
      </x:c>
      <x:c r="H16" s="31" t="n">
        <x:v>0</x:v>
      </x:c>
      <x:c r="I16" s="31" t="n">
        <x:v>0</x:v>
      </x:c>
      <x:c r="J16" s="31" t="n">
        <x:v>0</x:v>
      </x:c>
      <x:c r="K16" s="31" t="n">
        <x:v>400.34009</x:v>
      </x:c>
      <x:c r="L16" s="31" t="n">
        <x:f>E16-F16</x:f>
        <x:v>-1.1368683772161603e-13</x:v>
      </x:c>
    </x:row>
    <x:row r="17">
      <x:c r="A17" s="48" t="n">
        <x:v>13</x:v>
      </x:c>
      <x:c r="B17" s="31" t="n">
        <x:v>1253</x:v>
      </x:c>
      <x:c r="C17" s="31" t="n">
        <x:v>1179.7649999999999</x:v>
      </x:c>
      <x:c r="D17" s="31" t="n">
        <x:v>521.35</x:v>
      </x:c>
      <x:c r="E17" s="31" t="n">
        <x:f>MAX(C17+D17-B17,0)</x:f>
        <x:v>448.1149999999998</x:v>
      </x:c>
      <x:c r="F17" s="31" t="n">
        <x:v>355.225</x:v>
      </x:c>
      <x:c r="G17" s="31" t="n">
        <x:v>0</x:v>
      </x:c>
      <x:c r="H17" s="31" t="n">
        <x:v>0</x:v>
      </x:c>
      <x:c r="I17" s="31" t="n">
        <x:v>0</x:v>
      </x:c>
      <x:c r="J17" s="31" t="n">
        <x:v>92.89</x:v>
      </x:c>
      <x:c r="K17" s="31" t="n">
        <x:v>737.80384</x:v>
      </x:c>
      <x:c r="L17" s="31" t="n">
        <x:f>E17-F17</x:f>
        <x:v>92.88999999999976</x:v>
      </x:c>
    </x:row>
    <x:row r="18">
      <x:c r="A18" s="48" t="n">
        <x:v>14</x:v>
      </x:c>
      <x:c r="B18" s="31" t="n">
        <x:v>1278</x:v>
      </x:c>
      <x:c r="C18" s="31" t="n">
        <x:v>1081.41</x:v>
      </x:c>
      <x:c r="D18" s="31" t="n">
        <x:v>352.04999999999995</x:v>
      </x:c>
      <x:c r="E18" s="31" t="n">
        <x:f>MAX(C18+D18-B18,0)</x:f>
        <x:v>155.46000000000004</x:v>
      </x:c>
      <x:c r="F18" s="31" t="n">
        <x:v>155.46</x:v>
      </x:c>
      <x:c r="G18" s="31" t="n">
        <x:v>0</x:v>
      </x:c>
      <x:c r="H18" s="31" t="n">
        <x:v>0</x:v>
      </x:c>
      <x:c r="I18" s="31" t="n">
        <x:v>0</x:v>
      </x:c>
      <x:c r="J18" s="31" t="n">
        <x:v>0</x:v>
      </x:c>
      <x:c r="K18" s="31" t="n">
        <x:v>1075.2676</x:v>
      </x:c>
      <x:c r="L18" s="31" t="n">
        <x:f>E18-F18</x:f>
        <x:v>2.842170943040401e-14</x:v>
      </x:c>
    </x:row>
    <x:row r="19">
      <x:c r="A19" s="48" t="n">
        <x:v>15</x:v>
      </x:c>
      <x:c r="B19" s="31" t="n">
        <x:v>1248</x:v>
      </x:c>
      <x:c r="C19" s="31" t="n">
        <x:v>882.7950000000001</x:v>
      </x:c>
      <x:c r="D19" s="31" t="n">
        <x:v>172</x:v>
      </x:c>
      <x:c r="E19" s="31" t="n">
        <x:f>MAX(C19+D19-B19,0)</x:f>
        <x:v>0</x:v>
      </x:c>
      <x:c r="F19" s="31" t="n">
        <x:v>0</x:v>
      </x:c>
      <x:c r="G19" s="31" t="n">
        <x:v>193.205</x:v>
      </x:c>
      <x:c r="H19" s="31" t="n">
        <x:v>0</x:v>
      </x:c>
      <x:c r="I19" s="31" t="n">
        <x:v>0</x:v>
      </x:c>
      <x:c r="J19" s="31" t="n">
        <x:v>0</x:v>
      </x:c>
      <x:c r="K19" s="31" t="n">
        <x:v>1222.9546</x:v>
      </x:c>
      <x:c r="L19" s="31" t="n">
        <x:f>E19-F19</x:f>
        <x:v>0</x:v>
      </x:c>
    </x:row>
    <x:row r="20">
      <x:c r="A20" s="48" t="n">
        <x:v>16</x:v>
      </x:c>
      <x:c r="B20" s="31" t="n">
        <x:v>1328</x:v>
      </x:c>
      <x:c r="C20" s="31" t="n">
        <x:v>574.6500000000001</x:v>
      </x:c>
      <x:c r="D20" s="31" t="n">
        <x:v>300.25</x:v>
      </x:c>
      <x:c r="E20" s="31" t="n">
        <x:f>MAX(C20+D20-B20,0)</x:f>
        <x:v>0</x:v>
      </x:c>
      <x:c r="F20" s="31" t="n">
        <x:v>0</x:v>
      </x:c>
      <x:c r="G20" s="31" t="n">
        <x:v>0</x:v>
      </x:c>
      <x:c r="H20" s="31" t="n">
        <x:v>453.1</x:v>
      </x:c>
      <x:c r="I20" s="31" t="n">
        <x:v>0</x:v>
      </x:c>
      <x:c r="J20" s="31" t="n">
        <x:v>0</x:v>
      </x:c>
      <x:c r="K20" s="31" t="n">
        <x:v>1019.5809</x:v>
      </x:c>
      <x:c r="L20" s="31" t="n">
        <x:f>E20-F20</x:f>
        <x:v>0</x:v>
      </x:c>
    </x:row>
    <x:row r="21">
      <x:c r="A21" s="48" t="n">
        <x:v>17</x:v>
      </x:c>
      <x:c r="B21" s="31" t="n">
        <x:v>963</x:v>
      </x:c>
      <x:c r="C21" s="31" t="n">
        <x:v>59.385</x:v>
      </x:c>
      <x:c r="D21" s="31" t="n">
        <x:v>510.15000000000003</x:v>
      </x:c>
      <x:c r="E21" s="31" t="n">
        <x:f>MAX(C21+D21-B21,0)</x:f>
        <x:v>0</x:v>
      </x:c>
      <x:c r="F21" s="31" t="n">
        <x:v>0</x:v>
      </x:c>
      <x:c r="G21" s="31" t="n">
        <x:v>0</x:v>
      </x:c>
      <x:c r="H21" s="31" t="n">
        <x:v>393.465</x:v>
      </x:c>
      <x:c r="I21" s="31" t="n">
        <x:v>0</x:v>
      </x:c>
      <x:c r="J21" s="31" t="n">
        <x:v>0</x:v>
      </x:c>
      <x:c r="K21" s="31" t="n">
        <x:v>1019.5809</x:v>
      </x:c>
      <x:c r="L21" s="31" t="n">
        <x:f>E21-F21</x:f>
        <x:v>0</x:v>
      </x:c>
    </x:row>
    <x:row r="22">
      <x:c r="A22" s="48" t="n">
        <x:v>18</x:v>
      </x:c>
      <x:c r="B22" s="31" t="n">
        <x:v>915</x:v>
      </x:c>
      <x:c r="C22" s="31" t="n">
        <x:v>0</x:v>
      </x:c>
      <x:c r="D22" s="31" t="n">
        <x:v>512.5</x:v>
      </x:c>
      <x:c r="E22" s="31" t="n">
        <x:f>MAX(C22+D22-B22,0)</x:f>
        <x:v>0</x:v>
      </x:c>
      <x:c r="F22" s="31" t="n">
        <x:v>0</x:v>
      </x:c>
      <x:c r="G22" s="31" t="n">
        <x:v>0</x:v>
      </x:c>
      <x:c r="H22" s="31" t="n">
        <x:v>402.5</x:v>
      </x:c>
      <x:c r="I22" s="31" t="n">
        <x:v>0</x:v>
      </x:c>
      <x:c r="J22" s="31" t="n">
        <x:v>0</x:v>
      </x:c>
      <x:c r="K22" s="31" t="n">
        <x:v>1019.5809</x:v>
      </x:c>
      <x:c r="L22" s="31" t="n">
        <x:f>E22-F22</x:f>
        <x:v>0</x:v>
      </x:c>
    </x:row>
    <x:row r="23">
      <x:c r="A23" s="48" t="n">
        <x:v>19</x:v>
      </x:c>
      <x:c r="B23" s="31" t="n">
        <x:v>1084</x:v>
      </x:c>
      <x:c r="C23" s="31" t="n">
        <x:v>0</x:v>
      </x:c>
      <x:c r="D23" s="31" t="n">
        <x:v>659.95</x:v>
      </x:c>
      <x:c r="E23" s="31" t="n">
        <x:f>MAX(C23+D23-B23,0)</x:f>
        <x:v>0</x:v>
      </x:c>
      <x:c r="F23" s="31" t="n">
        <x:v>0</x:v>
      </x:c>
      <x:c r="G23" s="31" t="n">
        <x:v>0</x:v>
      </x:c>
      <x:c r="H23" s="31" t="n">
        <x:v>424.05</x:v>
      </x:c>
      <x:c r="I23" s="31" t="n">
        <x:v>0</x:v>
      </x:c>
      <x:c r="J23" s="31" t="n">
        <x:v>0</x:v>
      </x:c>
      <x:c r="K23" s="31" t="n">
        <x:v>1019.5809</x:v>
      </x:c>
      <x:c r="L23" s="31" t="n">
        <x:f>E23-F23</x:f>
        <x:v>0</x:v>
      </x:c>
    </x:row>
    <x:row r="24">
      <x:c r="A24" s="48" t="n">
        <x:v>20</x:v>
      </x:c>
      <x:c r="B24" s="31" t="n">
        <x:v>814</x:v>
      </x:c>
      <x:c r="C24" s="31" t="n">
        <x:v>0</x:v>
      </x:c>
      <x:c r="D24" s="31" t="n">
        <x:v>629.5500000000001</x:v>
      </x:c>
      <x:c r="E24" s="31" t="n">
        <x:f>MAX(C24+D24-B24,0)</x:f>
        <x:v>0</x:v>
      </x:c>
      <x:c r="F24" s="31" t="n">
        <x:v>0</x:v>
      </x:c>
      <x:c r="G24" s="31" t="n">
        <x:v>0</x:v>
      </x:c>
      <x:c r="H24" s="31" t="n">
        <x:v>184.45</x:v>
      </x:c>
      <x:c r="I24" s="31" t="n">
        <x:v>0</x:v>
      </x:c>
      <x:c r="J24" s="31" t="n">
        <x:v>0</x:v>
      </x:c>
      <x:c r="K24" s="31" t="n">
        <x:v>1019.5809</x:v>
      </x:c>
      <x:c r="L24" s="31" t="n">
        <x:f>E24-F24</x:f>
        <x:v>0</x:v>
      </x:c>
    </x:row>
    <x:row r="25">
      <x:c r="A25" s="48" t="n">
        <x:v>21</x:v>
      </x:c>
      <x:c r="B25" s="31" t="n">
        <x:v>844</x:v>
      </x:c>
      <x:c r="C25" s="31" t="n">
        <x:v>0</x:v>
      </x:c>
      <x:c r="D25" s="31" t="n">
        <x:v>304.85</x:v>
      </x:c>
      <x:c r="E25" s="31" t="n">
        <x:f>MAX(C25+D25-B25,0)</x:f>
        <x:v>0</x:v>
      </x:c>
      <x:c r="F25" s="31" t="n">
        <x:v>0</x:v>
      </x:c>
      <x:c r="G25" s="31" t="n">
        <x:v>0</x:v>
      </x:c>
      <x:c r="H25" s="31" t="n">
        <x:v>539.15</x:v>
      </x:c>
      <x:c r="I25" s="31" t="n">
        <x:v>0</x:v>
      </x:c>
      <x:c r="J25" s="31" t="n">
        <x:v>0</x:v>
      </x:c>
      <x:c r="K25" s="31" t="n">
        <x:v>1019.5809</x:v>
      </x:c>
      <x:c r="L25" s="31" t="n">
        <x:f>E25-F25</x:f>
        <x:v>0</x:v>
      </x:c>
    </x:row>
    <x:row r="26">
      <x:c r="A26" s="48" t="n">
        <x:v>22</x:v>
      </x:c>
      <x:c r="B26" s="31" t="n">
        <x:v>954</x:v>
      </x:c>
      <x:c r="C26" s="31" t="n">
        <x:v>0</x:v>
      </x:c>
      <x:c r="D26" s="31" t="n">
        <x:v>261.04999999999995</x:v>
      </x:c>
      <x:c r="E26" s="31" t="n">
        <x:f>MAX(C26+D26-B26,0)</x:f>
        <x:v>0</x:v>
      </x:c>
      <x:c r="F26" s="31" t="n">
        <x:v>0</x:v>
      </x:c>
      <x:c r="G26" s="31" t="n">
        <x:v>323.15361</x:v>
      </x:c>
      <x:c r="H26" s="31" t="n">
        <x:v>369.79639</x:v>
      </x:c>
      <x:c r="I26" s="31" t="n">
        <x:v>0</x:v>
      </x:c>
      <x:c r="J26" s="31" t="n">
        <x:v>0</x:v>
      </x:c>
      <x:c r="K26" s="31" t="n">
        <x:v>1019.5809</x:v>
      </x:c>
      <x:c r="L26" s="31" t="n">
        <x:f>E26-F26</x:f>
        <x:v>0</x:v>
      </x:c>
    </x:row>
    <x:row r="27">
      <x:c r="A27" s="48" t="n">
        <x:v>23</x:v>
      </x:c>
      <x:c r="B27" s="31" t="n">
        <x:v>864</x:v>
      </x:c>
      <x:c r="C27" s="31" t="n">
        <x:v>0</x:v>
      </x:c>
      <x:c r="D27" s="31" t="n">
        <x:v>248.35000000000002</x:v>
      </x:c>
      <x:c r="E27" s="31" t="n">
        <x:f>MAX(C27+D27-B27,0)</x:f>
        <x:v>0</x:v>
      </x:c>
      <x:c r="F27" s="31" t="n">
        <x:v>0</x:v>
      </x:c>
      <x:c r="G27" s="31" t="n">
        <x:v>0</x:v>
      </x:c>
      <x:c r="H27" s="31" t="n">
        <x:v>615.65</x:v>
      </x:c>
      <x:c r="I27" s="31" t="n">
        <x:v>0</x:v>
      </x:c>
      <x:c r="J27" s="31" t="n">
        <x:v>0</x:v>
      </x:c>
      <x:c r="K27" s="31" t="n">
        <x:v>679.41922</x:v>
      </x:c>
      <x:c r="L27" s="31" t="n">
        <x:f>E27-F27</x:f>
        <x:v>0</x:v>
      </x:c>
    </x:row>
    <x:row r="28">
      <x:c r="A28" s="48" t="n">
        <x:v>24</x:v>
      </x:c>
      <x:c r="B28" s="31" t="n">
        <x:v>890</x:v>
      </x:c>
      <x:c r="C28" s="31" t="n">
        <x:v>0</x:v>
      </x:c>
      <x:c r="D28" s="31" t="n">
        <x:v>116.15</x:v>
      </x:c>
      <x:c r="E28" s="31" t="n">
        <x:f>MAX(C28+D28-B28,0)</x:f>
        <x:v>0</x:v>
      </x:c>
      <x:c r="F28" s="31" t="n">
        <x:v>0</x:v>
      </x:c>
      <x:c r="G28" s="31" t="n">
        <x:v>0</x:v>
      </x:c>
      <x:c r="H28" s="31" t="n">
        <x:v>773.85</x:v>
      </x:c>
      <x:c r="I28" s="31" t="n">
        <x:v>0</x:v>
      </x:c>
      <x:c r="J28" s="31" t="n">
        <x:v>0</x:v>
      </x:c>
      <x:c r="K28" s="31" t="n">
        <x:v>679.41922</x:v>
      </x:c>
      <x:c r="L28" s="31" t="n">
        <x:f>E28-F28</x:f>
        <x:v>0</x:v>
      </x:c>
    </x:row>
    <x:row r="29">
      <x:c r="A29" s="46" t="str">
        <x:v>合计</x:v>
      </x:c>
      <x:c r="B29" s="47" t="n">
        <x:f>SUM(B5:B28)</x:f>
        <x:v>23387</x:v>
      </x:c>
      <x:c r="C29" s="47" t="n">
        <x:f>SUM(C5:C28)</x:f>
        <x:v>7274.355</x:v>
      </x:c>
      <x:c r="D29" s="47" t="n">
        <x:f>SUM(D5:D28)</x:f>
        <x:v>9083.550000000001</x:v>
      </x:c>
      <x:c r="E29" s="47" t="n">
        <x:f>SUM(E5:E28)</x:f>
        <x:v>1237.1749999999997</x:v>
      </x:c>
      <x:c r="F29" s="47" t="n">
        <x:f>SUM(F5:F28)</x:f>
        <x:v>1144.285</x:v>
      </x:c>
      <x:c r="G29" s="47" t="n">
        <x:f>SUM(G5:G28)</x:f>
        <x:v>1032.71722</x:v>
      </x:c>
      <x:c r="H29" s="47" t="n">
        <x:f>SUM(H5:H28)</x:f>
        <x:v>7233.55278</x:v>
      </x:c>
      <x:c r="I29" s="47" t="n">
        <x:f>SUM(I5:I28)</x:f>
        <x:v>0</x:v>
      </x:c>
      <x:c r="J29" s="47" t="n">
        <x:f>SUM(J5:J28)</x:f>
        <x:v>92.88999999999989</x:v>
      </x:c>
      <x:c r="K29" s="47"/>
      <x:c r="L29" s="47"/>
    </x:row>
  </x:sheetData>
  <x:mergeCells>
    <x:mergeCell ref="A1:L1"/>
  </x:mergeCells>
  <x:conditionalFormatting sqref="L5:L28">
    <x:cfRule type="cellIs" dxfId="4" priority="1" operator="lessThan">
      <x:formula>-0.0001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863390e59324f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9" hidden="0" customWidth="1"/>
    <x:col min="4" max="4" width="15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9" hidden="0" customWidth="1"/>
  </x:cols>
  <x:sheetData>
    <x:row r="1" ht="30" customHeight="1">
      <x:c r="A1" s="4" t="str">
        <x:v>λ=0.6 连续最优方案逐时运行（仅允许风光余电充电）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2" t="str">
        <x:v>储能功率/kW</x:v>
      </x:c>
      <x:c r="B2" s="43" t="n">
        <x:v>448.115</x:v>
      </x:c>
      <x:c r="C2" s="43" t="str">
        <x:v>储能容量/kWh</x:v>
      </x:c>
      <x:c r="D2" s="43" t="n">
        <x:v>1469.1453</x:v>
      </x:c>
      <x:c r="E2" s="42" t="str">
        <x:v>日弃电量/kWh</x:v>
      </x:c>
      <x:c r="F2" s="43" t="n">
        <x:v>0</x:v>
      </x:c>
    </x:row>
    <x:row r="4" ht="32" customHeight="1">
      <x:c r="A4" s="18" t="str">
        <x:v>时段</x:v>
      </x:c>
      <x:c r="B4" s="18" t="str">
        <x:v>负荷/kW</x:v>
      </x:c>
      <x:c r="C4" s="18" t="str">
        <x:v>光伏/kW</x:v>
      </x:c>
      <x:c r="D4" s="18" t="str">
        <x:v>风电/kW</x:v>
      </x:c>
      <x:c r="E4" s="18" t="str">
        <x:v>风光余电/kW</x:v>
      </x:c>
      <x:c r="F4" s="18" t="str">
        <x:v>充电/kW</x:v>
      </x:c>
      <x:c r="G4" s="18" t="str">
        <x:v>放电/kW</x:v>
      </x:c>
      <x:c r="H4" s="18" t="str">
        <x:v>购电/kW</x:v>
      </x:c>
      <x:c r="I4" s="18" t="str">
        <x:v>弃光/kW</x:v>
      </x:c>
      <x:c r="J4" s="18" t="str">
        <x:v>弃风/kW</x:v>
      </x:c>
      <x:c r="K4" s="18" t="str">
        <x:v>储能电量/kWh</x:v>
      </x:c>
      <x:c r="L4" s="18" t="str">
        <x:v>余电约束裕度/kW</x:v>
      </x:c>
    </x:row>
    <x:row r="5">
      <x:c r="A5" s="48" t="n">
        <x:v>1</x:v>
      </x:c>
      <x:c r="B5" s="31" t="n">
        <x:v>818</x:v>
      </x:c>
      <x:c r="C5" s="31" t="n">
        <x:v>0</x:v>
      </x:c>
      <x:c r="D5" s="31" t="n">
        <x:v>303.3</x:v>
      </x:c>
      <x:c r="E5" s="31" t="n">
        <x:f>MAX(C5+D5-B5,0)</x:f>
        <x:v>0</x:v>
      </x:c>
      <x:c r="F5" s="31" t="n">
        <x:v>0</x:v>
      </x:c>
      <x:c r="G5" s="31" t="n">
        <x:v>229.82522</x:v>
      </x:c>
      <x:c r="H5" s="31" t="n">
        <x:v>284.87478</x:v>
      </x:c>
      <x:c r="I5" s="31" t="n">
        <x:v>0</x:v>
      </x:c>
      <x:c r="J5" s="31" t="n">
        <x:v>0</x:v>
      </x:c>
      <x:c r="K5" s="31" t="n">
        <x:v>734.57266</x:v>
      </x:c>
      <x:c r="L5" s="31" t="n">
        <x:f>E5-F5</x:f>
        <x:v>0</x:v>
      </x:c>
    </x:row>
    <x:row r="6">
      <x:c r="A6" s="48" t="n">
        <x:v>2</x:v>
      </x:c>
      <x:c r="B6" s="31" t="n">
        <x:v>820</x:v>
      </x:c>
      <x:c r="C6" s="31" t="n">
        <x:v>0</x:v>
      </x:c>
      <x:c r="D6" s="31" t="n">
        <x:v>491.54999999999995</x:v>
      </x:c>
      <x:c r="E6" s="31" t="n">
        <x:f>MAX(C6+D6-B6,0)</x:f>
        <x:v>0</x:v>
      </x:c>
      <x:c r="F6" s="31" t="n">
        <x:v>0</x:v>
      </x:c>
      <x:c r="G6" s="31" t="n">
        <x:v>328.45</x:v>
      </x:c>
      <x:c r="H6" s="31" t="n">
        <x:v>0</x:v>
      </x:c>
      <x:c r="I6" s="31" t="n">
        <x:v>0</x:v>
      </x:c>
      <x:c r="J6" s="31" t="n">
        <x:v>0</x:v>
      </x:c>
      <x:c r="K6" s="31" t="n">
        <x:v>492.65137</x:v>
      </x:c>
      <x:c r="L6" s="31" t="n">
        <x:f>E6-F6</x:f>
        <x:v>0</x:v>
      </x:c>
    </x:row>
    <x:row r="7">
      <x:c r="A7" s="48" t="n">
        <x:v>3</x:v>
      </x:c>
      <x:c r="B7" s="31" t="n">
        <x:v>913</x:v>
      </x:c>
      <x:c r="C7" s="31" t="n">
        <x:v>0</x:v>
      </x:c>
      <x:c r="D7" s="31" t="n">
        <x:v>494.75</x:v>
      </x:c>
      <x:c r="E7" s="31" t="n">
        <x:f>MAX(C7+D7-B7,0)</x:f>
        <x:v>0</x:v>
      </x:c>
      <x:c r="F7" s="31" t="n">
        <x:v>0</x:v>
      </x:c>
      <x:c r="G7" s="31" t="n">
        <x:v>0</x:v>
      </x:c>
      <x:c r="H7" s="31" t="n">
        <x:v>418.25</x:v>
      </x:c>
      <x:c r="I7" s="31" t="n">
        <x:v>0</x:v>
      </x:c>
      <x:c r="J7" s="31" t="n">
        <x:v>0</x:v>
      </x:c>
      <x:c r="K7" s="31" t="n">
        <x:v>146.91453</x:v>
      </x:c>
      <x:c r="L7" s="31" t="n">
        <x:f>E7-F7</x:f>
        <x:v>0</x:v>
      </x:c>
    </x:row>
    <x:row r="8">
      <x:c r="A8" s="48" t="n">
        <x:v>4</x:v>
      </x:c>
      <x:c r="B8" s="31" t="n">
        <x:v>918</x:v>
      </x:c>
      <x:c r="C8" s="31" t="n">
        <x:v>0</x:v>
      </x:c>
      <x:c r="D8" s="31" t="n">
        <x:v>535.95</x:v>
      </x:c>
      <x:c r="E8" s="31" t="n">
        <x:f>MAX(C8+D8-B8,0)</x:f>
        <x:v>0</x:v>
      </x:c>
      <x:c r="F8" s="31" t="n">
        <x:v>0</x:v>
      </x:c>
      <x:c r="G8" s="31" t="n">
        <x:v>0</x:v>
      </x:c>
      <x:c r="H8" s="31" t="n">
        <x:v>382.05</x:v>
      </x:c>
      <x:c r="I8" s="31" t="n">
        <x:v>0</x:v>
      </x:c>
      <x:c r="J8" s="31" t="n">
        <x:v>0</x:v>
      </x:c>
      <x:c r="K8" s="31" t="n">
        <x:v>146.91453</x:v>
      </x:c>
      <x:c r="L8" s="31" t="n">
        <x:f>E8-F8</x:f>
        <x:v>0</x:v>
      </x:c>
    </x:row>
    <x:row r="9">
      <x:c r="A9" s="48" t="n">
        <x:v>5</x:v>
      </x:c>
      <x:c r="B9" s="31" t="n">
        <x:v>871</x:v>
      </x:c>
      <x:c r="C9" s="31" t="n">
        <x:v>0</x:v>
      </x:c>
      <x:c r="D9" s="31" t="n">
        <x:v>738.7</x:v>
      </x:c>
      <x:c r="E9" s="31" t="n">
        <x:f>MAX(C9+D9-B9,0)</x:f>
        <x:v>0</x:v>
      </x:c>
      <x:c r="F9" s="31" t="n">
        <x:v>0</x:v>
      </x:c>
      <x:c r="G9" s="31" t="n">
        <x:v>0</x:v>
      </x:c>
      <x:c r="H9" s="31" t="n">
        <x:v>132.3</x:v>
      </x:c>
      <x:c r="I9" s="31" t="n">
        <x:v>0</x:v>
      </x:c>
      <x:c r="J9" s="31" t="n">
        <x:v>0</x:v>
      </x:c>
      <x:c r="K9" s="31" t="n">
        <x:v>146.91453</x:v>
      </x:c>
      <x:c r="L9" s="31" t="n">
        <x:f>E9-F9</x:f>
        <x:v>0</x:v>
      </x:c>
    </x:row>
    <x:row r="10">
      <x:c r="A10" s="48" t="n">
        <x:v>6</x:v>
      </x:c>
      <x:c r="B10" s="31" t="n">
        <x:v>815</x:v>
      </x:c>
      <x:c r="C10" s="31" t="n">
        <x:v>0</x:v>
      </x:c>
      <x:c r="D10" s="31" t="n">
        <x:v>671.65</x:v>
      </x:c>
      <x:c r="E10" s="31" t="n">
        <x:f>MAX(C10+D10-B10,0)</x:f>
        <x:v>0</x:v>
      </x:c>
      <x:c r="F10" s="31" t="n">
        <x:v>0</x:v>
      </x:c>
      <x:c r="G10" s="31" t="n">
        <x:v>0</x:v>
      </x:c>
      <x:c r="H10" s="31" t="n">
        <x:v>143.35</x:v>
      </x:c>
      <x:c r="I10" s="31" t="n">
        <x:v>0</x:v>
      </x:c>
      <x:c r="J10" s="31" t="n">
        <x:v>0</x:v>
      </x:c>
      <x:c r="K10" s="31" t="n">
        <x:v>146.91453</x:v>
      </x:c>
      <x:c r="L10" s="31" t="n">
        <x:f>E10-F10</x:f>
        <x:v>0</x:v>
      </x:c>
    </x:row>
    <x:row r="11">
      <x:c r="A11" s="48" t="n">
        <x:v>7</x:v>
      </x:c>
      <x:c r="B11" s="31" t="n">
        <x:v>883</x:v>
      </x:c>
      <x:c r="C11" s="31" t="n">
        <x:v>0</x:v>
      </x:c>
      <x:c r="D11" s="31" t="n">
        <x:v>387.5</x:v>
      </x:c>
      <x:c r="E11" s="31" t="n">
        <x:f>MAX(C11+D11-B11,0)</x:f>
        <x:v>0</x:v>
      </x:c>
      <x:c r="F11" s="31" t="n">
        <x:v>0</x:v>
      </x:c>
      <x:c r="G11" s="31" t="n">
        <x:v>0</x:v>
      </x:c>
      <x:c r="H11" s="31" t="n">
        <x:v>495.5</x:v>
      </x:c>
      <x:c r="I11" s="31" t="n">
        <x:v>0</x:v>
      </x:c>
      <x:c r="J11" s="31" t="n">
        <x:v>0</x:v>
      </x:c>
      <x:c r="K11" s="31" t="n">
        <x:v>146.91453</x:v>
      </x:c>
      <x:c r="L11" s="31" t="n">
        <x:f>E11-F11</x:f>
        <x:v>0</x:v>
      </x:c>
    </x:row>
    <x:row r="12">
      <x:c r="A12" s="48" t="n">
        <x:v>8</x:v>
      </x:c>
      <x:c r="B12" s="31" t="n">
        <x:v>957</x:v>
      </x:c>
      <x:c r="C12" s="31" t="n">
        <x:v>10.65</x:v>
      </x:c>
      <x:c r="D12" s="31" t="n">
        <x:v>108</x:v>
      </x:c>
      <x:c r="E12" s="31" t="n">
        <x:f>MAX(C12+D12-B12,0)</x:f>
        <x:v>0</x:v>
      </x:c>
      <x:c r="F12" s="31" t="n">
        <x:v>0</x:v>
      </x:c>
      <x:c r="G12" s="31" t="n">
        <x:v>0</x:v>
      </x:c>
      <x:c r="H12" s="31" t="n">
        <x:v>838.35</x:v>
      </x:c>
      <x:c r="I12" s="31" t="n">
        <x:v>0</x:v>
      </x:c>
      <x:c r="J12" s="31" t="n">
        <x:v>0</x:v>
      </x:c>
      <x:c r="K12" s="31" t="n">
        <x:v>146.91453</x:v>
      </x:c>
      <x:c r="L12" s="31" t="n">
        <x:f>E12-F12</x:f>
        <x:v>0</x:v>
      </x:c>
    </x:row>
    <x:row r="13">
      <x:c r="A13" s="48" t="n">
        <x:v>9</x:v>
      </x:c>
      <x:c r="B13" s="31" t="n">
        <x:v>931</x:v>
      </x:c>
      <x:c r="C13" s="31" t="n">
        <x:v>423.75</x:v>
      </x:c>
      <x:c r="D13" s="31" t="n">
        <x:v>166.29999999999998</x:v>
      </x:c>
      <x:c r="E13" s="31" t="n">
        <x:f>MAX(C13+D13-B13,0)</x:f>
        <x:v>0</x:v>
      </x:c>
      <x:c r="F13" s="31" t="n">
        <x:v>0</x:v>
      </x:c>
      <x:c r="G13" s="31" t="n">
        <x:v>0</x:v>
      </x:c>
      <x:c r="H13" s="31" t="n">
        <x:v>340.95</x:v>
      </x:c>
      <x:c r="I13" s="31" t="n">
        <x:v>0</x:v>
      </x:c>
      <x:c r="J13" s="31" t="n">
        <x:v>0</x:v>
      </x:c>
      <x:c r="K13" s="31" t="n">
        <x:v>146.91453</x:v>
      </x:c>
      <x:c r="L13" s="31" t="n">
        <x:f>E13-F13</x:f>
        <x:v>0</x:v>
      </x:c>
    </x:row>
    <x:row r="14">
      <x:c r="A14" s="48" t="n">
        <x:v>10</x:v>
      </x:c>
      <x:c r="B14" s="31" t="n">
        <x:v>879</x:v>
      </x:c>
      <x:c r="C14" s="31" t="n">
        <x:v>830.3399999999999</x:v>
      </x:c>
      <x:c r="D14" s="31" t="n">
        <x:v>257.95000000000005</x:v>
      </x:c>
      <x:c r="E14" s="31" t="n">
        <x:f>MAX(C14+D14-B14,0)</x:f>
        <x:v>209.28999999999996</x:v>
      </x:c>
      <x:c r="F14" s="31" t="n">
        <x:v>209.29</x:v>
      </x:c>
      <x:c r="G14" s="31" t="n">
        <x:v>0</x:v>
      </x:c>
      <x:c r="H14" s="31" t="n">
        <x:v>0</x:v>
      </x:c>
      <x:c r="I14" s="31" t="n">
        <x:v>0</x:v>
      </x:c>
      <x:c r="J14" s="31" t="n">
        <x:v>0</x:v>
      </x:c>
      <x:c r="K14" s="31" t="n">
        <x:v>146.91453</x:v>
      </x:c>
      <x:c r="L14" s="31" t="n">
        <x:f>E14-F14</x:f>
        <x:v>-2.842170943040401e-14</x:v>
      </x:c>
    </x:row>
    <x:row r="15">
      <x:c r="A15" s="48" t="n">
        <x:v>11</x:v>
      </x:c>
      <x:c r="B15" s="31" t="n">
        <x:v>1047</x:v>
      </x:c>
      <x:c r="C15" s="31" t="n">
        <x:v>1054.4850000000001</x:v>
      </x:c>
      <x:c r="D15" s="31" t="n">
        <x:v>61.599999999999994</x:v>
      </x:c>
      <x:c r="E15" s="31" t="n">
        <x:f>MAX(C15+D15-B15,0)</x:f>
        <x:v>69.08500000000004</x:v>
      </x:c>
      <x:c r="F15" s="31" t="n">
        <x:v>69.085</x:v>
      </x:c>
      <x:c r="G15" s="31" t="n">
        <x:v>0</x:v>
      </x:c>
      <x:c r="H15" s="31" t="n">
        <x:v>0</x:v>
      </x:c>
      <x:c r="I15" s="31" t="n">
        <x:v>0</x:v>
      </x:c>
      <x:c r="J15" s="31" t="n">
        <x:v>0</x:v>
      </x:c>
      <x:c r="K15" s="31" t="n">
        <x:v>345.74003</x:v>
      </x:c>
      <x:c r="L15" s="31" t="n">
        <x:f>E15-F15</x:f>
        <x:v>4.263256414560601e-14</x:v>
      </x:c>
    </x:row>
    <x:row r="16">
      <x:c r="A16" s="48" t="n">
        <x:v>12</x:v>
      </x:c>
      <x:c r="B16" s="31" t="n">
        <x:v>1100</x:v>
      </x:c>
      <x:c r="C16" s="31" t="n">
        <x:v>1177.125</x:v>
      </x:c>
      <x:c r="D16" s="31" t="n">
        <x:v>278.1</x:v>
      </x:c>
      <x:c r="E16" s="31" t="n">
        <x:f>MAX(C16+D16-B16,0)</x:f>
        <x:v>355.2249999999999</x:v>
      </x:c>
      <x:c r="F16" s="31" t="n">
        <x:v>355.225</x:v>
      </x:c>
      <x:c r="G16" s="31" t="n">
        <x:v>0</x:v>
      </x:c>
      <x:c r="H16" s="31" t="n">
        <x:v>0</x:v>
      </x:c>
      <x:c r="I16" s="31" t="n">
        <x:v>0</x:v>
      </x:c>
      <x:c r="J16" s="31" t="n">
        <x:v>0</x:v>
      </x:c>
      <x:c r="K16" s="31" t="n">
        <x:v>411.37078</x:v>
      </x:c>
      <x:c r="L16" s="31" t="n">
        <x:f>E16-F16</x:f>
        <x:v>-1.1368683772161603e-13</x:v>
      </x:c>
    </x:row>
    <x:row r="17">
      <x:c r="A17" s="48" t="n">
        <x:v>13</x:v>
      </x:c>
      <x:c r="B17" s="31" t="n">
        <x:v>1253</x:v>
      </x:c>
      <x:c r="C17" s="31" t="n">
        <x:v>1179.7649999999999</x:v>
      </x:c>
      <x:c r="D17" s="31" t="n">
        <x:v>521.35</x:v>
      </x:c>
      <x:c r="E17" s="31" t="n">
        <x:f>MAX(C17+D17-B17,0)</x:f>
        <x:v>448.1149999999998</x:v>
      </x:c>
      <x:c r="F17" s="31" t="n">
        <x:v>448.115</x:v>
      </x:c>
      <x:c r="G17" s="31" t="n">
        <x:v>0</x:v>
      </x:c>
      <x:c r="H17" s="31" t="n">
        <x:v>0</x:v>
      </x:c>
      <x:c r="I17" s="31" t="n">
        <x:v>0</x:v>
      </x:c>
      <x:c r="J17" s="31" t="n">
        <x:v>0</x:v>
      </x:c>
      <x:c r="K17" s="31" t="n">
        <x:v>748.83453</x:v>
      </x:c>
      <x:c r="L17" s="31" t="n">
        <x:f>E17-F17</x:f>
        <x:v>-2.2737367544323206e-13</x:v>
      </x:c>
    </x:row>
    <x:row r="18">
      <x:c r="A18" s="48" t="n">
        <x:v>14</x:v>
      </x:c>
      <x:c r="B18" s="31" t="n">
        <x:v>1278</x:v>
      </x:c>
      <x:c r="C18" s="31" t="n">
        <x:v>1081.41</x:v>
      </x:c>
      <x:c r="D18" s="31" t="n">
        <x:v>352.04999999999995</x:v>
      </x:c>
      <x:c r="E18" s="31" t="n">
        <x:f>MAX(C18+D18-B18,0)</x:f>
        <x:v>155.46000000000004</x:v>
      </x:c>
      <x:c r="F18" s="31" t="n">
        <x:v>155.46</x:v>
      </x:c>
      <x:c r="G18" s="31" t="n">
        <x:v>0</x:v>
      </x:c>
      <x:c r="H18" s="31" t="n">
        <x:v>0</x:v>
      </x:c>
      <x:c r="I18" s="31" t="n">
        <x:v>0</x:v>
      </x:c>
      <x:c r="J18" s="31" t="n">
        <x:v>0</x:v>
      </x:c>
      <x:c r="K18" s="31" t="n">
        <x:v>1174.5438</x:v>
      </x:c>
      <x:c r="L18" s="31" t="n">
        <x:f>E18-F18</x:f>
        <x:v>2.842170943040401e-14</x:v>
      </x:c>
    </x:row>
    <x:row r="19">
      <x:c r="A19" s="48" t="n">
        <x:v>15</x:v>
      </x:c>
      <x:c r="B19" s="31" t="n">
        <x:v>1248</x:v>
      </x:c>
      <x:c r="C19" s="31" t="n">
        <x:v>882.7950000000001</x:v>
      </x:c>
      <x:c r="D19" s="31" t="n">
        <x:v>172</x:v>
      </x:c>
      <x:c r="E19" s="31" t="n">
        <x:f>MAX(C19+D19-B19,0)</x:f>
        <x:v>0</x:v>
      </x:c>
      <x:c r="F19" s="31" t="n">
        <x:v>0</x:v>
      </x:c>
      <x:c r="G19" s="31" t="n">
        <x:v>193.205</x:v>
      </x:c>
      <x:c r="H19" s="31" t="n">
        <x:v>0</x:v>
      </x:c>
      <x:c r="I19" s="31" t="n">
        <x:v>0</x:v>
      </x:c>
      <x:c r="J19" s="31" t="n">
        <x:v>0</x:v>
      </x:c>
      <x:c r="K19" s="31" t="n">
        <x:v>1322.2308</x:v>
      </x:c>
      <x:c r="L19" s="31" t="n">
        <x:f>E19-F19</x:f>
        <x:v>0</x:v>
      </x:c>
    </x:row>
    <x:row r="20">
      <x:c r="A20" s="48" t="n">
        <x:v>16</x:v>
      </x:c>
      <x:c r="B20" s="31" t="n">
        <x:v>1328</x:v>
      </x:c>
      <x:c r="C20" s="31" t="n">
        <x:v>574.6500000000001</x:v>
      </x:c>
      <x:c r="D20" s="31" t="n">
        <x:v>300.25</x:v>
      </x:c>
      <x:c r="E20" s="31" t="n">
        <x:f>MAX(C20+D20-B20,0)</x:f>
        <x:v>0</x:v>
      </x:c>
      <x:c r="F20" s="31" t="n">
        <x:v>0</x:v>
      </x:c>
      <x:c r="G20" s="31" t="n">
        <x:v>0</x:v>
      </x:c>
      <x:c r="H20" s="31" t="n">
        <x:v>453.1</x:v>
      </x:c>
      <x:c r="I20" s="31" t="n">
        <x:v>0</x:v>
      </x:c>
      <x:c r="J20" s="31" t="n">
        <x:v>0</x:v>
      </x:c>
      <x:c r="K20" s="31" t="n">
        <x:v>1118.8571</x:v>
      </x:c>
      <x:c r="L20" s="31" t="n">
        <x:f>E20-F20</x:f>
        <x:v>0</x:v>
      </x:c>
    </x:row>
    <x:row r="21">
      <x:c r="A21" s="48" t="n">
        <x:v>17</x:v>
      </x:c>
      <x:c r="B21" s="31" t="n">
        <x:v>963</x:v>
      </x:c>
      <x:c r="C21" s="31" t="n">
        <x:v>59.385</x:v>
      </x:c>
      <x:c r="D21" s="31" t="n">
        <x:v>510.15000000000003</x:v>
      </x:c>
      <x:c r="E21" s="31" t="n">
        <x:f>MAX(C21+D21-B21,0)</x:f>
        <x:v>0</x:v>
      </x:c>
      <x:c r="F21" s="31" t="n">
        <x:v>0</x:v>
      </x:c>
      <x:c r="G21" s="31" t="n">
        <x:v>0</x:v>
      </x:c>
      <x:c r="H21" s="31" t="n">
        <x:v>393.465</x:v>
      </x:c>
      <x:c r="I21" s="31" t="n">
        <x:v>0</x:v>
      </x:c>
      <x:c r="J21" s="31" t="n">
        <x:v>0</x:v>
      </x:c>
      <x:c r="K21" s="31" t="n">
        <x:v>1118.8571</x:v>
      </x:c>
      <x:c r="L21" s="31" t="n">
        <x:f>E21-F21</x:f>
        <x:v>0</x:v>
      </x:c>
    </x:row>
    <x:row r="22">
      <x:c r="A22" s="48" t="n">
        <x:v>18</x:v>
      </x:c>
      <x:c r="B22" s="31" t="n">
        <x:v>915</x:v>
      </x:c>
      <x:c r="C22" s="31" t="n">
        <x:v>0</x:v>
      </x:c>
      <x:c r="D22" s="31" t="n">
        <x:v>512.5</x:v>
      </x:c>
      <x:c r="E22" s="31" t="n">
        <x:f>MAX(C22+D22-B22,0)</x:f>
        <x:v>0</x:v>
      </x:c>
      <x:c r="F22" s="31" t="n">
        <x:v>0</x:v>
      </x:c>
      <x:c r="G22" s="31" t="n">
        <x:v>0</x:v>
      </x:c>
      <x:c r="H22" s="31" t="n">
        <x:v>402.5</x:v>
      </x:c>
      <x:c r="I22" s="31" t="n">
        <x:v>0</x:v>
      </x:c>
      <x:c r="J22" s="31" t="n">
        <x:v>0</x:v>
      </x:c>
      <x:c r="K22" s="31" t="n">
        <x:v>1118.8571</x:v>
      </x:c>
      <x:c r="L22" s="31" t="n">
        <x:f>E22-F22</x:f>
        <x:v>0</x:v>
      </x:c>
    </x:row>
    <x:row r="23">
      <x:c r="A23" s="48" t="n">
        <x:v>19</x:v>
      </x:c>
      <x:c r="B23" s="31" t="n">
        <x:v>1084</x:v>
      </x:c>
      <x:c r="C23" s="31" t="n">
        <x:v>0</x:v>
      </x:c>
      <x:c r="D23" s="31" t="n">
        <x:v>659.95</x:v>
      </x:c>
      <x:c r="E23" s="31" t="n">
        <x:f>MAX(C23+D23-B23,0)</x:f>
        <x:v>0</x:v>
      </x:c>
      <x:c r="F23" s="31" t="n">
        <x:v>0</x:v>
      </x:c>
      <x:c r="G23" s="31" t="n">
        <x:v>0</x:v>
      </x:c>
      <x:c r="H23" s="31" t="n">
        <x:v>424.05</x:v>
      </x:c>
      <x:c r="I23" s="31" t="n">
        <x:v>0</x:v>
      </x:c>
      <x:c r="J23" s="31" t="n">
        <x:v>0</x:v>
      </x:c>
      <x:c r="K23" s="31" t="n">
        <x:v>1118.8571</x:v>
      </x:c>
      <x:c r="L23" s="31" t="n">
        <x:f>E23-F23</x:f>
        <x:v>0</x:v>
      </x:c>
    </x:row>
    <x:row r="24">
      <x:c r="A24" s="48" t="n">
        <x:v>20</x:v>
      </x:c>
      <x:c r="B24" s="31" t="n">
        <x:v>814</x:v>
      </x:c>
      <x:c r="C24" s="31" t="n">
        <x:v>0</x:v>
      </x:c>
      <x:c r="D24" s="31" t="n">
        <x:v>629.5500000000001</x:v>
      </x:c>
      <x:c r="E24" s="31" t="n">
        <x:f>MAX(C24+D24-B24,0)</x:f>
        <x:v>0</x:v>
      </x:c>
      <x:c r="F24" s="31" t="n">
        <x:v>0</x:v>
      </x:c>
      <x:c r="G24" s="31" t="n">
        <x:v>0</x:v>
      </x:c>
      <x:c r="H24" s="31" t="n">
        <x:v>184.45</x:v>
      </x:c>
      <x:c r="I24" s="31" t="n">
        <x:v>0</x:v>
      </x:c>
      <x:c r="J24" s="31" t="n">
        <x:v>0</x:v>
      </x:c>
      <x:c r="K24" s="31" t="n">
        <x:v>1118.8571</x:v>
      </x:c>
      <x:c r="L24" s="31" t="n">
        <x:f>E24-F24</x:f>
        <x:v>0</x:v>
      </x:c>
    </x:row>
    <x:row r="25">
      <x:c r="A25" s="48" t="n">
        <x:v>21</x:v>
      </x:c>
      <x:c r="B25" s="31" t="n">
        <x:v>844</x:v>
      </x:c>
      <x:c r="C25" s="31" t="n">
        <x:v>0</x:v>
      </x:c>
      <x:c r="D25" s="31" t="n">
        <x:v>304.85</x:v>
      </x:c>
      <x:c r="E25" s="31" t="n">
        <x:f>MAX(C25+D25-B25,0)</x:f>
        <x:v>0</x:v>
      </x:c>
      <x:c r="F25" s="31" t="n">
        <x:v>0</x:v>
      </x:c>
      <x:c r="G25" s="31" t="n">
        <x:v>0</x:v>
      </x:c>
      <x:c r="H25" s="31" t="n">
        <x:v>539.15</x:v>
      </x:c>
      <x:c r="I25" s="31" t="n">
        <x:v>0</x:v>
      </x:c>
      <x:c r="J25" s="31" t="n">
        <x:v>0</x:v>
      </x:c>
      <x:c r="K25" s="31" t="n">
        <x:v>1118.8571</x:v>
      </x:c>
      <x:c r="L25" s="31" t="n">
        <x:f>E25-F25</x:f>
        <x:v>0</x:v>
      </x:c>
    </x:row>
    <x:row r="26">
      <x:c r="A26" s="48" t="n">
        <x:v>22</x:v>
      </x:c>
      <x:c r="B26" s="31" t="n">
        <x:v>954</x:v>
      </x:c>
      <x:c r="C26" s="31" t="n">
        <x:v>0</x:v>
      </x:c>
      <x:c r="D26" s="31" t="n">
        <x:v>261.04999999999995</x:v>
      </x:c>
      <x:c r="E26" s="31" t="n">
        <x:f>MAX(C26+D26-B26,0)</x:f>
        <x:v>0</x:v>
      </x:c>
      <x:c r="F26" s="31" t="n">
        <x:v>0</x:v>
      </x:c>
      <x:c r="G26" s="31" t="n">
        <x:v>365.07022</x:v>
      </x:c>
      <x:c r="H26" s="31" t="n">
        <x:v>327.87978</x:v>
      </x:c>
      <x:c r="I26" s="31" t="n">
        <x:v>0</x:v>
      </x:c>
      <x:c r="J26" s="31" t="n">
        <x:v>0</x:v>
      </x:c>
      <x:c r="K26" s="31" t="n">
        <x:v>1118.8571</x:v>
      </x:c>
      <x:c r="L26" s="31" t="n">
        <x:f>E26-F26</x:f>
        <x:v>0</x:v>
      </x:c>
    </x:row>
    <x:row r="27">
      <x:c r="A27" s="48" t="n">
        <x:v>23</x:v>
      </x:c>
      <x:c r="B27" s="31" t="n">
        <x:v>864</x:v>
      </x:c>
      <x:c r="C27" s="31" t="n">
        <x:v>0</x:v>
      </x:c>
      <x:c r="D27" s="31" t="n">
        <x:v>248.35000000000002</x:v>
      </x:c>
      <x:c r="E27" s="31" t="n">
        <x:f>MAX(C27+D27-B27,0)</x:f>
        <x:v>0</x:v>
      </x:c>
      <x:c r="F27" s="31" t="n">
        <x:v>0</x:v>
      </x:c>
      <x:c r="G27" s="31" t="n">
        <x:v>0</x:v>
      </x:c>
      <x:c r="H27" s="31" t="n">
        <x:v>615.65</x:v>
      </x:c>
      <x:c r="I27" s="31" t="n">
        <x:v>0</x:v>
      </x:c>
      <x:c r="J27" s="31" t="n">
        <x:v>0</x:v>
      </x:c>
      <x:c r="K27" s="31" t="n">
        <x:v>734.57266</x:v>
      </x:c>
      <x:c r="L27" s="31" t="n">
        <x:f>E27-F27</x:f>
        <x:v>0</x:v>
      </x:c>
    </x:row>
    <x:row r="28">
      <x:c r="A28" s="48" t="n">
        <x:v>24</x:v>
      </x:c>
      <x:c r="B28" s="31" t="n">
        <x:v>890</x:v>
      </x:c>
      <x:c r="C28" s="31" t="n">
        <x:v>0</x:v>
      </x:c>
      <x:c r="D28" s="31" t="n">
        <x:v>116.15</x:v>
      </x:c>
      <x:c r="E28" s="31" t="n">
        <x:f>MAX(C28+D28-B28,0)</x:f>
        <x:v>0</x:v>
      </x:c>
      <x:c r="F28" s="31" t="n">
        <x:v>0</x:v>
      </x:c>
      <x:c r="G28" s="31" t="n">
        <x:v>0</x:v>
      </x:c>
      <x:c r="H28" s="31" t="n">
        <x:v>773.85</x:v>
      </x:c>
      <x:c r="I28" s="31" t="n">
        <x:v>0</x:v>
      </x:c>
      <x:c r="J28" s="31" t="n">
        <x:v>0</x:v>
      </x:c>
      <x:c r="K28" s="31" t="n">
        <x:v>734.57266</x:v>
      </x:c>
      <x:c r="L28" s="31" t="n">
        <x:f>E28-F28</x:f>
        <x:v>0</x:v>
      </x:c>
    </x:row>
    <x:row r="29">
      <x:c r="A29" s="46" t="str">
        <x:v>合计</x:v>
      </x:c>
      <x:c r="B29" s="47" t="n">
        <x:f>SUM(B5:B28)</x:f>
        <x:v>23387</x:v>
      </x:c>
      <x:c r="C29" s="47" t="n">
        <x:f>SUM(C5:C28)</x:f>
        <x:v>7274.355</x:v>
      </x:c>
      <x:c r="D29" s="47" t="n">
        <x:f>SUM(D5:D28)</x:f>
        <x:v>9083.550000000001</x:v>
      </x:c>
      <x:c r="E29" s="47" t="n">
        <x:f>SUM(E5:E28)</x:f>
        <x:v>1237.1749999999997</x:v>
      </x:c>
      <x:c r="F29" s="47" t="n">
        <x:f>SUM(F5:F28)</x:f>
        <x:v>1237.1750000000002</x:v>
      </x:c>
      <x:c r="G29" s="47" t="n">
        <x:f>SUM(G5:G28)</x:f>
        <x:v>1116.55044</x:v>
      </x:c>
      <x:c r="H29" s="47" t="n">
        <x:f>SUM(H5:H28)</x:f>
        <x:v>7149.71956</x:v>
      </x:c>
      <x:c r="I29" s="47" t="n">
        <x:f>SUM(I5:I28)</x:f>
        <x:v>0</x:v>
      </x:c>
      <x:c r="J29" s="47" t="n">
        <x:f>SUM(J5:J28)</x:f>
        <x:v>0</x:v>
      </x:c>
      <x:c r="K29" s="47"/>
      <x:c r="L29" s="47"/>
    </x:row>
  </x:sheetData>
  <x:mergeCells>
    <x:mergeCell ref="A1:L1"/>
  </x:mergeCells>
  <x:conditionalFormatting sqref="L5:L28">
    <x:cfRule type="cellIs" dxfId="5" priority="1" operator="lessThan">
      <x:formula>-0.0001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ad18fa6be14593"/>
  </x:tableParts>
</x:worksheet>
</file>